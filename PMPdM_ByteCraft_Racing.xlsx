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Roadmap" sheetId="1" state="visible" r:id="rId3"/>
    <sheet name="OKR" sheetId="2" state="visible" r:id="rId4"/>
    <sheet name="IMS" sheetId="3" state="visible" r:id="rId5"/>
    <sheet name="RACI" sheetId="4" state="visible" r:id="rId6"/>
    <sheet name="Risk Register" sheetId="5" state="visible" r:id="rId7"/>
    <sheet name="Burndown Charts" sheetId="6" state="visible" r:id="rId8"/>
    <sheet name="Status Report" sheetId="7" state="visible" r:id="rId9"/>
    <sheet name="Kick-Off Document" sheetId="8" state="visible" r:id="rId10"/>
    <sheet name="WBS" sheetId="9" state="visible" r:id="rId11"/>
    <sheet name="FBS" sheetId="10" state="visible" r:id="rId12"/>
  </sheets>
  <definedNames>
    <definedName function="false" hidden="true" localSheetId="2" name="_xlnm._FilterDatabase" vbProcedure="false">IMS!$A$5:$J$5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<sst xmlns="http://schemas.openxmlformats.org/spreadsheetml/2006/main" count="929" uniqueCount="502">
  <si>
    <t xml:space="preserve">Workstream</t>
  </si>
  <si>
    <t xml:space="preserve">Now</t>
  </si>
  <si>
    <t xml:space="preserve">Next</t>
  </si>
  <si>
    <t xml:space="preserve">Later</t>
  </si>
  <si>
    <t xml:space="preserve">ENGINEERING</t>
  </si>
  <si>
    <t xml:space="preserve">MoTeC parsers complete — 70 channels decode (raw×mul/10^dec+shift)</t>
  </si>
  <si>
    <t xml:space="preserve">Clerk JWT + role claims at API</t>
  </si>
  <si>
    <t xml:space="preserve">2nd sim title: iRacing / ACC (new ingest only)</t>
  </si>
  <si>
    <t xml:space="preserve">FastAPI + async SQLAlchemy scaffold; 14-table ORM</t>
  </si>
  <si>
    <t xml:space="preserve">get_db() SET LOCAL RLS tenant context</t>
  </si>
  <si>
    <t xml:space="preserve">Live streaming telemetry (not post-session)</t>
  </si>
  <si>
    <t xml:space="preserve">Telemetry dashboard + 70-channel traces (prototyped)</t>
  </si>
  <si>
    <t xml:space="preserve">Agent orchestration moved server-side</t>
  </si>
  <si>
    <t xml:space="preserve">Setup recommendation engine (Optimizer writes params)</t>
  </si>
  <si>
    <t xml:space="preserve">Phase 1 deploy: Vercel/Netlify + Railway/Render/Fly</t>
  </si>
  <si>
    <t xml:space="preserve">Cost levers: tiering + caching + metering</t>
  </si>
  <si>
    <t xml:space="preserve">Voice-coach bridge / local companion app</t>
  </si>
  <si>
    <t xml:space="preserve">TimescaleDB hypertable conversion (at deploy)</t>
  </si>
  <si>
    <t xml:space="preserve">Session notes (driver + agent-tagged)</t>
  </si>
  <si>
    <t xml:space="preserve">Corner-by-corner vs published ideal</t>
  </si>
  <si>
    <t xml:space="preserve">Sanitized .ld fixture + GitHub push</t>
  </si>
  <si>
    <t xml:space="preserve">Garage accounts (2–50 seats, pooled quota)</t>
  </si>
  <si>
    <t xml:space="preserve">MANAGEMENT</t>
  </si>
  <si>
    <t xml:space="preserve">Working Plan + Product Phase Plan v1.0</t>
  </si>
  <si>
    <t xml:space="preserve">Quota / metering enforcement live</t>
  </si>
  <si>
    <t xml:space="preserve">Product analytics + churn signals</t>
  </si>
  <si>
    <t xml:space="preserve">Clean Agile cadence (INVEST, AC-as-DoD)</t>
  </si>
  <si>
    <t xml:space="preserve">Garage admin dashboards wired to real perms</t>
  </si>
  <si>
    <t xml:space="preserve">Content ops for corner-dossier library</t>
  </si>
  <si>
    <t xml:space="preserve">TDD lap-analysis suite (128 backend tests)</t>
  </si>
  <si>
    <t xml:space="preserve">Support workflow + issue queue</t>
  </si>
  <si>
    <t xml:space="preserve">Code Craft gating on merge (blocks majors)</t>
  </si>
  <si>
    <t xml:space="preserve">Code Craft standards auditor (prototype)</t>
  </si>
  <si>
    <t xml:space="preserve">Onboarding funnel instrumentation</t>
  </si>
  <si>
    <t xml:space="preserve">BUSINESS</t>
  </si>
  <si>
    <t xml:space="preserve">Positioning: engineer the car, not coach the driver</t>
  </si>
  <si>
    <t xml:space="preserve">Plan tiers Rookie → Paddock + Stripe billing</t>
  </si>
  <si>
    <t xml:space="preserve">Paddock B2B / league pilots</t>
  </si>
  <si>
    <t xml:space="preserve">Competitor map (Track Titan, Trophi.ai, RaceLab)</t>
  </si>
  <si>
    <t xml:space="preserve">Usage credits priced 3–7× cost</t>
  </si>
  <si>
    <t xml:space="preserve">Pricing experiments (run-class credits)</t>
  </si>
  <si>
    <t xml:space="preserve">AI cost model — ~$0.04/$0.18/$0.26 per run class</t>
  </si>
  <si>
    <t xml:space="preserve">Per-user margin visibility</t>
  </si>
  <si>
    <t xml:space="preserve">Premium live/voice coaching tier</t>
  </si>
  <si>
    <t xml:space="preserve">Setup marketplace</t>
  </si>
  <si>
    <t xml:space="preserve">Direction</t>
  </si>
  <si>
    <t xml:space="preserve">Launch a telemetry product first; switch on intelligence once revenue exists; expand to new titles last. Defer cost and complexity until the prior phase justifies them.</t>
  </si>
  <si>
    <t xml:space="preserve">Period</t>
  </si>
  <si>
    <t xml:space="preserve">Q3 2026 (post-Phase-0)</t>
  </si>
  <si>
    <t xml:space="preserve">Team</t>
  </si>
  <si>
    <t xml:space="preserve">ByteCraft Racing</t>
  </si>
  <si>
    <t xml:space="preserve">Owner</t>
  </si>
  <si>
    <t xml:space="preserve">Ohioma</t>
  </si>
  <si>
    <t xml:space="preserve">O1 — Ship a telemetry product a solo driver will pay for (Phase 1 launch)</t>
  </si>
  <si>
    <t xml:space="preserve">Key Result</t>
  </si>
  <si>
    <t xml:space="preserve">Baseline</t>
  </si>
  <si>
    <t xml:space="preserve">Target</t>
  </si>
  <si>
    <t xml:space="preserve">Current</t>
  </si>
  <si>
    <t xml:space="preserve">Conf. %</t>
  </si>
  <si>
    <t xml:space="preserve">Status</t>
  </si>
  <si>
    <t xml:space="preserve">Register → dashboard time</t>
  </si>
  <si>
    <t xml:space="preserve">n/a</t>
  </si>
  <si>
    <t xml:space="preserve">&lt;2 min</t>
  </si>
  <si>
    <t xml:space="preserve">not deployed</t>
  </si>
  <si>
    <t xml:space="preserve">60%</t>
  </si>
  <si>
    <t xml:space="preserve">On track</t>
  </si>
  <si>
    <t xml:space="preserve">Upload → full session view</t>
  </si>
  <si>
    <t xml:space="preserve">&lt;10 s</t>
  </si>
  <si>
    <t xml:space="preserve">10 s (local)</t>
  </si>
  <si>
    <t xml:space="preserve">70%</t>
  </si>
  <si>
    <t xml:space="preserve">70 channels decoded &amp; flagged</t>
  </si>
  <si>
    <t xml:space="preserve">0</t>
  </si>
  <si>
    <t xml:space="preserve">70</t>
  </si>
  <si>
    <t xml:space="preserve">70 (2 flagged)</t>
  </si>
  <si>
    <t xml:space="preserve">95%</t>
  </si>
  <si>
    <t xml:space="preserve">Done</t>
  </si>
  <si>
    <t xml:space="preserve">Trend across ≥2 sessions</t>
  </si>
  <si>
    <t xml:space="preserve">none</t>
  </si>
  <si>
    <t xml:space="preserve">best-lap chart</t>
  </si>
  <si>
    <t xml:space="preserve">prototyped</t>
  </si>
  <si>
    <t xml:space="preserve">65%</t>
  </si>
  <si>
    <t xml:space="preserve">Uptime over first 30 days</t>
  </si>
  <si>
    <t xml:space="preserve">99%</t>
  </si>
  <si>
    <t xml:space="preserve">not live</t>
  </si>
  <si>
    <t xml:space="preserve">50%</t>
  </si>
  <si>
    <t xml:space="preserve">At risk</t>
  </si>
  <si>
    <t xml:space="preserve">O2 — Make the Race Engineering Agent real and economical (server-side)</t>
  </si>
  <si>
    <t xml:space="preserve">Standard run end-to-end server-side</t>
  </si>
  <si>
    <t xml:space="preserve">client-side</t>
  </si>
  <si>
    <t xml:space="preserve">&lt;60 s + cost logged</t>
  </si>
  <si>
    <t xml:space="preserve">client prototype</t>
  </si>
  <si>
    <t xml:space="preserve">55%</t>
  </si>
  <si>
    <t xml:space="preserve">Specialists never on Opus (invariant)</t>
  </si>
  <si>
    <t xml:space="preserve">—</t>
  </si>
  <si>
    <t xml:space="preserve">test green in CI</t>
  </si>
  <si>
    <t xml:space="preserve">test exists</t>
  </si>
  <si>
    <t xml:space="preserve">80%</t>
  </si>
  <si>
    <t xml:space="preserve">Cached-input share on repeat run</t>
  </si>
  <si>
    <t xml:space="preserve">0%</t>
  </si>
  <si>
    <t xml:space="preserve">≥60%</t>
  </si>
  <si>
    <t xml:space="preserve">not wired</t>
  </si>
  <si>
    <t xml:space="preserve">45%</t>
  </si>
  <si>
    <t xml:space="preserve">Cost vs naive all-Opus baseline</t>
  </si>
  <si>
    <t xml:space="preserve">$0.95/run</t>
  </si>
  <si>
    <t xml:space="preserve">~90% lower</t>
  </si>
  <si>
    <t xml:space="preserve">modeled</t>
  </si>
  <si>
    <t xml:space="preserve">O3 — Establish a trustworthy multi-tenant foundation</t>
  </si>
  <si>
    <t xml:space="preserve">JWT role claims gate every route</t>
  </si>
  <si>
    <t xml:space="preserve">client-side only</t>
  </si>
  <si>
    <t xml:space="preserve">100% of routes</t>
  </si>
  <si>
    <t xml:space="preserve">not started</t>
  </si>
  <si>
    <t xml:space="preserve">40%</t>
  </si>
  <si>
    <t xml:space="preserve">Cross-tenant read at DB layer</t>
  </si>
  <si>
    <t xml:space="preserve">app WHERE</t>
  </si>
  <si>
    <t xml:space="preserve">impossible (RLS)</t>
  </si>
  <si>
    <t xml:space="preserve">SQL written</t>
  </si>
  <si>
    <t xml:space="preserve">Garage pooled quota accuracy</t>
  </si>
  <si>
    <t xml:space="preserve">accurate aggregation</t>
  </si>
  <si>
    <t xml:space="preserve">Quota blocks the N+1 run</t>
  </si>
  <si>
    <t xml:space="preserve">enforced + upgrade path</t>
  </si>
  <si>
    <t xml:space="preserve">metering built</t>
  </si>
  <si>
    <t xml:space="preserve">O4 — Validate unit economics and pricing</t>
  </si>
  <si>
    <t xml:space="preserve">Per-user margin visible</t>
  </si>
  <si>
    <t xml:space="preserve">1-screen cost vs revenue</t>
  </si>
  <si>
    <t xml:space="preserve">Plan tiers live with billing</t>
  </si>
  <si>
    <t xml:space="preserve">Rookie→Paddock + Stripe</t>
  </si>
  <si>
    <t xml:space="preserve">planned</t>
  </si>
  <si>
    <t xml:space="preserve">35%</t>
  </si>
  <si>
    <t xml:space="preserve">credit layer live</t>
  </si>
  <si>
    <t xml:space="preserve">designed</t>
  </si>
  <si>
    <t xml:space="preserve">Paddock B2B / league pilot</t>
  </si>
  <si>
    <t xml:space="preserve">≥1 signed</t>
  </si>
  <si>
    <t xml:space="preserve">25%</t>
  </si>
  <si>
    <t xml:space="preserve">Project</t>
  </si>
  <si>
    <t xml:space="preserve">ByteCraft Racing — Race Engineering Manager</t>
  </si>
  <si>
    <t xml:space="preserve">Baseline Date</t>
  </si>
  <si>
    <t xml:space="preserve">30 Jun 2026</t>
  </si>
  <si>
    <t xml:space="preserve">PM</t>
  </si>
  <si>
    <t xml:space="preserve">ID</t>
  </si>
  <si>
    <t xml:space="preserve">MILESTONE/TASKS</t>
  </si>
  <si>
    <t xml:space="preserve">OWNER</t>
  </si>
  <si>
    <t xml:space="preserve">START</t>
  </si>
  <si>
    <t xml:space="preserve">FINISH</t>
  </si>
  <si>
    <t xml:space="preserve">%COMP</t>
  </si>
  <si>
    <t xml:space="preserve">STATUS</t>
  </si>
  <si>
    <t xml:space="preserve">M0</t>
  </si>
  <si>
    <t xml:space="preserve">PHASE 0 — PROTOTYPING</t>
  </si>
  <si>
    <t xml:space="preserve">Ohioma/ByteCraft</t>
  </si>
  <si>
    <t xml:space="preserve">May 2026</t>
  </si>
  <si>
    <t xml:space="preserve">ACTIVE</t>
  </si>
  <si>
    <t xml:space="preserve">0.1</t>
  </si>
  <si>
    <t xml:space="preserve">MoTeC .ld/.ldx/.svm decode (70 channels)</t>
  </si>
  <si>
    <t xml:space="preserve">ByteCraft</t>
  </si>
  <si>
    <t xml:space="preserve">100%</t>
  </si>
  <si>
    <t xml:space="preserve">DONE</t>
  </si>
  <si>
    <t xml:space="preserve">0.2</t>
  </si>
  <si>
    <t xml:space="preserve">Agent prototypes v2 → v12 (live API)</t>
  </si>
  <si>
    <t xml:space="preserve">Claude/ByteCraft</t>
  </si>
  <si>
    <t xml:space="preserve">Jun 2026</t>
  </si>
  <si>
    <t xml:space="preserve">0.3</t>
  </si>
  <si>
    <t xml:space="preserve">AI cost model + metering service (30+ tests)</t>
  </si>
  <si>
    <t xml:space="preserve">0.4</t>
  </si>
  <si>
    <t xml:space="preserve">14-table ORM + ERD (FK integrity)</t>
  </si>
  <si>
    <t xml:space="preserve">0.5</t>
  </si>
  <si>
    <t xml:space="preserve">Jul 2026</t>
  </si>
  <si>
    <t xml:space="preserve">LATE</t>
  </si>
  <si>
    <t xml:space="preserve">M1</t>
  </si>
  <si>
    <t xml:space="preserve">PHASE 1 — LAUNCH (telemetry only)</t>
  </si>
  <si>
    <t xml:space="preserve">TBD</t>
  </si>
  <si>
    <t xml:space="preserve">10%</t>
  </si>
  <si>
    <t xml:space="preserve">1.1</t>
  </si>
  <si>
    <t xml:space="preserve">Wire frontend to backend API</t>
  </si>
  <si>
    <t xml:space="preserve">HOLD</t>
  </si>
  <si>
    <t xml:space="preserve">1.2</t>
  </si>
  <si>
    <t xml:space="preserve">Deploy hosting + Postgres</t>
  </si>
  <si>
    <t xml:space="preserve">1.3</t>
  </si>
  <si>
    <t xml:space="preserve">TimescaleDB hypertable conversion</t>
  </si>
  <si>
    <t xml:space="preserve">1.4</t>
  </si>
  <si>
    <t xml:space="preserve">Cross-session trend / progression view</t>
  </si>
  <si>
    <t xml:space="preserve">1.5</t>
  </si>
  <si>
    <t xml:space="preserve">Sentry / error tracking; 99% uptime target</t>
  </si>
  <si>
    <t xml:space="preserve">M2</t>
  </si>
  <si>
    <t xml:space="preserve">PHASE 2 — INTELLIGENCE + TEAMS</t>
  </si>
  <si>
    <t xml:space="preserve">5%</t>
  </si>
  <si>
    <t xml:space="preserve">2.1</t>
  </si>
  <si>
    <t xml:space="preserve">Clerk JWT + role claims (critical path)</t>
  </si>
  <si>
    <t xml:space="preserve">2.2</t>
  </si>
  <si>
    <t xml:space="preserve">2.3</t>
  </si>
  <si>
    <t xml:space="preserve">Agent orchestration server-side</t>
  </si>
  <si>
    <t xml:space="preserve">ByteCraft/Claude</t>
  </si>
  <si>
    <t xml:space="preserve">2.4</t>
  </si>
  <si>
    <t xml:space="preserve">Cost levers enforced (tier/cache/meter)</t>
  </si>
  <si>
    <t xml:space="preserve">30%</t>
  </si>
  <si>
    <t xml:space="preserve">2.5</t>
  </si>
  <si>
    <t xml:space="preserve">Garage accounts + invite + pooled quota</t>
  </si>
  <si>
    <t xml:space="preserve">2.6</t>
  </si>
  <si>
    <t xml:space="preserve">2.7</t>
  </si>
  <si>
    <t xml:space="preserve">Stripe plan tiers (Rookie → Paddock)</t>
  </si>
  <si>
    <t xml:space="preserve">M3</t>
  </si>
  <si>
    <t xml:space="preserve">PHASE 3 — MANAGEMENT</t>
  </si>
  <si>
    <t xml:space="preserve">3.1</t>
  </si>
  <si>
    <t xml:space="preserve">Admin usage/cost dashboards; per-user margin</t>
  </si>
  <si>
    <t xml:space="preserve">3.2</t>
  </si>
  <si>
    <t xml:space="preserve">Corner-dossier publishing pipeline</t>
  </si>
  <si>
    <t xml:space="preserve">3.3</t>
  </si>
  <si>
    <t xml:space="preserve">Onboarding funnel + support workflow</t>
  </si>
  <si>
    <t xml:space="preserve">3.4</t>
  </si>
  <si>
    <t xml:space="preserve">Code Craft in CI (blocks majors)</t>
  </si>
  <si>
    <t xml:space="preserve">M4</t>
  </si>
  <si>
    <t xml:space="preserve">PHASE 4 — EXPANSION</t>
  </si>
  <si>
    <t xml:space="preserve">4.1</t>
  </si>
  <si>
    <t xml:space="preserve">Second sim title (iRacing / ACC)</t>
  </si>
  <si>
    <t xml:space="preserve">4.2</t>
  </si>
  <si>
    <t xml:space="preserve">Live/streaming telemetry + voice tier</t>
  </si>
  <si>
    <t xml:space="preserve">DELAY</t>
  </si>
  <si>
    <t xml:space="preserve">PMO / Product
(Ohioma)</t>
  </si>
  <si>
    <t xml:space="preserve">Engineering
(ByteCraft Co.)</t>
  </si>
  <si>
    <t xml:space="preserve">AI Build+Runtime
(Claude)</t>
  </si>
  <si>
    <t xml:space="preserve">QA / Acceptance</t>
  </si>
  <si>
    <t xml:space="preserve">Sponsor
(Axiom Black)</t>
  </si>
  <si>
    <t xml:space="preserve">Deliverable</t>
  </si>
  <si>
    <t xml:space="preserve">Product / Phase Plan &amp; roadmap</t>
  </si>
  <si>
    <t xml:space="preserve">A</t>
  </si>
  <si>
    <t xml:space="preserve">C</t>
  </si>
  <si>
    <t xml:space="preserve">R</t>
  </si>
  <si>
    <t xml:space="preserve">I</t>
  </si>
  <si>
    <t xml:space="preserve">MoTeC parsers (.ld/.ldx/.svm)</t>
  </si>
  <si>
    <t xml:space="preserve">Backend platform (FastAPI/ORM/CI)</t>
  </si>
  <si>
    <t xml:space="preserve">Race Engineering Agent design</t>
  </si>
  <si>
    <t xml:space="preserve">Clerk JWT / identity &amp; roles</t>
  </si>
  <si>
    <t xml:space="preserve">RLS / tenant isolation</t>
  </si>
  <si>
    <t xml:space="preserve">Cost levers (tier/cache/meter)</t>
  </si>
  <si>
    <t xml:space="preserve">Frontend dashboards</t>
  </si>
  <si>
    <t xml:space="preserve">Deployment &amp; hosting</t>
  </si>
  <si>
    <t xml:space="preserve">Billing / Stripe / pricing</t>
  </si>
  <si>
    <t xml:space="preserve">Acceptance testing (DoD)</t>
  </si>
  <si>
    <t xml:space="preserve">BizDev / league pilots</t>
  </si>
  <si>
    <t xml:space="preserve">Corner-dossier content</t>
  </si>
  <si>
    <t xml:space="preserve">Responsible</t>
  </si>
  <si>
    <t xml:space="preserve">Accountable</t>
  </si>
  <si>
    <t xml:space="preserve">Consulted</t>
  </si>
  <si>
    <t xml:space="preserve">Informed</t>
  </si>
  <si>
    <t xml:space="preserve">RISK</t>
  </si>
  <si>
    <t xml:space="preserve">CAT</t>
  </si>
  <si>
    <t xml:space="preserve">P (1-5)</t>
  </si>
  <si>
    <t xml:space="preserve">I (1-5)</t>
  </si>
  <si>
    <t xml:space="preserve">Score</t>
  </si>
  <si>
    <t xml:space="preserve">Response</t>
  </si>
  <si>
    <t xml:space="preserve">R1</t>
  </si>
  <si>
    <t xml:space="preserve">Role gating is client-side only — not trustworthy until Clerk JWT lands</t>
  </si>
  <si>
    <t xml:space="preserve">Technical</t>
  </si>
  <si>
    <t xml:space="preserve">Mitigate — Clerk JWT is the critical-path unlock; gate every API route</t>
  </si>
  <si>
    <t xml:space="preserve">R2</t>
  </si>
  <si>
    <t xml:space="preserve">Per-run AI cost exposure before revenue exists</t>
  </si>
  <si>
    <t xml:space="preserve">Schedule</t>
  </si>
  <si>
    <t xml:space="preserve">Mitigate — telemetry-first launch keeps agent dark until Phase 2</t>
  </si>
  <si>
    <t xml:space="preserve">R3</t>
  </si>
  <si>
    <t xml:space="preserve">Heavy users erode margin without an overage layer</t>
  </si>
  <si>
    <t xml:space="preserve">Resource</t>
  </si>
  <si>
    <t xml:space="preserve">Mitigate — usage credits priced 3–7× cost</t>
  </si>
  <si>
    <t xml:space="preserve">R4</t>
  </si>
  <si>
    <t xml:space="preserve">LMU sim quirks: ambient/track temp channels unreliable</t>
  </si>
  <si>
    <t xml:space="preserve">Accept — flag explicitly, never hide</t>
  </si>
  <si>
    <t xml:space="preserve">R5</t>
  </si>
  <si>
    <t xml:space="preserve">Unverified format assumptions (the .svm guess-vs-reality precedent)</t>
  </si>
  <si>
    <t xml:space="preserve">Mitigate — no format ships unverified against real files</t>
  </si>
  <si>
    <t xml:space="preserve">R6</t>
  </si>
  <si>
    <t xml:space="preserve">Live-coaching cost anchor pollutes premium-tier pricing</t>
  </si>
  <si>
    <t xml:space="preserve">External</t>
  </si>
  <si>
    <t xml:space="preserve">Avoid — separate real-time cost from batch inference architecturally</t>
  </si>
  <si>
    <t xml:space="preserve">R7</t>
  </si>
  <si>
    <t xml:space="preserve">Repo push blocked by driver PII in real .ld files</t>
  </si>
  <si>
    <t xml:space="preserve">Mitigate — commit a truncated, anonymized fixture first</t>
  </si>
  <si>
    <t xml:space="preserve">R8</t>
  </si>
  <si>
    <t xml:space="preserve">Single-title dependency on Le Mans Ultimate</t>
  </si>
  <si>
    <t xml:space="preserve">Accept — stack is title-agnostic; expansion is a parser + reference data</t>
  </si>
  <si>
    <t xml:space="preserve">R9</t>
  </si>
  <si>
    <t xml:space="preserve">Competitor funding (Track Titan) / brand (Trophi.ai)</t>
  </si>
  <si>
    <t xml:space="preserve">Mitigate — hold the unclaimed 'engineer the car' position</t>
  </si>
  <si>
    <t xml:space="preserve">R10</t>
  </si>
  <si>
    <t xml:space="preserve">TimescaleDB hypertable conversion at deploy</t>
  </si>
  <si>
    <t xml:space="preserve">Accept — deferred until MoTeC ingest activates; low blast radius</t>
  </si>
  <si>
    <t xml:space="preserve">P x I</t>
  </si>
  <si>
    <t xml:space="preserve">Avoid</t>
  </si>
  <si>
    <t xml:space="preserve">Mitigate</t>
  </si>
  <si>
    <t xml:space="preserve">Transfer</t>
  </si>
  <si>
    <t xml:space="preserve">Accept</t>
  </si>
  <si>
    <t xml:space="preserve">ByteCraft Racing — Iteration 1 'Wire the spine' (6 stories: S1–S6)</t>
  </si>
  <si>
    <t xml:space="preserve">Start</t>
  </si>
  <si>
    <t xml:space="preserve">10 Jul 2026 (est.)</t>
  </si>
  <si>
    <t xml:space="preserve">End</t>
  </si>
  <si>
    <t xml:space="preserve">Week</t>
  </si>
  <si>
    <t xml:space="preserve">Ideal</t>
  </si>
  <si>
    <t xml:space="preserve">Actual</t>
  </si>
  <si>
    <t xml:space="preserve">Scope Change Notes</t>
  </si>
  <si>
    <t xml:space="preserve">Baseline = 6 stories remaining (normalized to 1.0). Actual updates weekly once Iteration 1 starts; log scope changes here.</t>
  </si>
  <si>
    <t xml:space="preserve">Date</t>
  </si>
  <si>
    <t xml:space="preserve">10 Jul 2026</t>
  </si>
  <si>
    <t xml:space="preserve">Health</t>
  </si>
  <si>
    <t xml:space="preserve">ON TRACK — one watch item (Phase 1 vs agent sequencing)</t>
  </si>
  <si>
    <t xml:space="preserve">ON TRACK</t>
  </si>
  <si>
    <t xml:space="preserve">AT RISK</t>
  </si>
  <si>
    <t xml:space="preserve">OFF TRACK</t>
  </si>
  <si>
    <t xml:space="preserve">Phase 0 (prototyping) substantially complete: MoTeC 70-channel decode confirmed against real files; agent prototype v2→v12 running live; cost model + metering (30+ tests); 14-table ORM.</t>
  </si>
  <si>
    <t xml:space="preserve">Launch blocker cleared — MoTeC binary decode resolved 30 Jun 2026. Phase 1 is now integration + deployment, not research.</t>
  </si>
  <si>
    <t xml:space="preserve">Race Engineering Agent works as a client-side prototype (orchestrator → 6 specialists → optimizer → synthesizer). It goes server-side in Phase 2.</t>
  </si>
  <si>
    <t xml:space="preserve">Strategy holds: launch a telemetry product first; keep the agent dark until revenue exists.</t>
  </si>
  <si>
    <t xml:space="preserve">NEXT</t>
  </si>
  <si>
    <t xml:space="preserve">Iteration 1 — 'Wire the spine' (6 INVEST stories):</t>
  </si>
  <si>
    <t xml:space="preserve">S1 sanitized .ld fixture → S2 GitHub push</t>
  </si>
  <si>
    <t xml:space="preserve">S3 Clerk JWT + role claims (the unlock)</t>
  </si>
  <si>
    <t xml:space="preserve">S4 get_db() SET LOCAL RLS; S5 agent server-side</t>
  </si>
  <si>
    <t xml:space="preserve">S6 enforce cost levers (tiering / caching / metering)</t>
  </si>
  <si>
    <t xml:space="preserve">Then: Phase 1 deploy + TimescaleDB conversion</t>
  </si>
  <si>
    <t xml:space="preserve">NEED</t>
  </si>
  <si>
    <t xml:space="preserve">Provision Clerk (auth), Stripe (billing), hosting (Vercel/Netlify + Railway/Render/Fly)</t>
  </si>
  <si>
    <t xml:space="preserve">Production domain + DNS</t>
  </si>
  <si>
    <t xml:space="preserve">Decision: plan-tier pricing (Rookie → Paddock) and usage-credit rates</t>
  </si>
  <si>
    <t xml:space="preserve">Any additional real LMU session exports for validation</t>
  </si>
  <si>
    <t xml:space="preserve">ETA</t>
  </si>
  <si>
    <t xml:space="preserve">Phase 1 (telemetry launch): once deploy pipeline is green — target date TBD after S1/S2</t>
  </si>
  <si>
    <t xml:space="preserve">Phase 2 (agent live + teams): after the identity spine (S3–S6) lands</t>
  </si>
  <si>
    <t xml:space="preserve">MILESTONE/RISK</t>
  </si>
  <si>
    <t xml:space="preserve">DUE</t>
  </si>
  <si>
    <t xml:space="preserve">Clerk JWT integration (critical path)</t>
  </si>
  <si>
    <t xml:space="preserve">Phase 1 deploy (hosting + Postgres)</t>
  </si>
  <si>
    <t xml:space="preserve">Agent server-side migration</t>
  </si>
  <si>
    <t xml:space="preserve">Stripe billing + plan tiers</t>
  </si>
  <si>
    <t xml:space="preserve">10 Jul 2026 (baseline 30 Jun 2026)</t>
  </si>
  <si>
    <t xml:space="preserve">Ohioma — PMO / Product Owner, Axiom Black, LLC</t>
  </si>
  <si>
    <t xml:space="preserve">PURPOSE - Problem &amp; Intended Value</t>
  </si>
  <si>
    <t xml:space="preserve">A sim-racing telemetry + AI race-engineering platform for Le Mans Ultimate (LMU). Every competitor (Track Titan, Trophi.ai, RaceLab, RaceData.AI) coaches the DRIVER. ByteCraft engineers the CAR and the SESSION — an unclaimed market position.</t>
  </si>
  <si>
    <t xml:space="preserve">Decode MoTeC .ld/.ldx/.svm telemetry into a full session breakdown, and give the driver an agentic Race Engineer that reasons across aero, tires, powertrain, strategy, environment and KPIs — output no human race engineer would otherwise provide to a sim racer.</t>
  </si>
  <si>
    <t xml:space="preserve">Built by Axiom Black, LLC with The ByteCraft Company. Methodology foundation: Clean Agile (INVEST stories, acceptance-test-as-DoD, Iron Cross, ROI triage).</t>
  </si>
  <si>
    <t xml:space="preserve">OUTCOMES - SUCCESS CRITERIA</t>
  </si>
  <si>
    <t xml:space="preserve">1. A solo driver uploads a matched .ld/.ldx/.svm set and sees a full 70-channel breakdown + cross-session trends (Phase 1 launch).</t>
  </si>
  <si>
    <t xml:space="preserve">2. The Race Engineering Agent produces useful, cost-viable engineering guidance server-side (Phase 2).</t>
  </si>
  <si>
    <t xml:space="preserve">3. Viable unit economics: ~90% cost reduction vs naive all-Opus baseline via model tiering + prompt caching + run metering.</t>
  </si>
  <si>
    <t xml:space="preserve">4. Trustworthy multi-tenant foundation: solo + garages (2–50 seats) isolated at the database layer.</t>
  </si>
  <si>
    <t xml:space="preserve">5. Guiding principle: every phase leaves the product in a state a real driver would pay for.</t>
  </si>
  <si>
    <t xml:space="preserve">IN SCOPE</t>
  </si>
  <si>
    <t xml:space="preserve">OUT OF SCOPE</t>
  </si>
  <si>
    <t xml:space="preserve">LMU as launch title; telemetry ingest + dashboard; trend/progression view</t>
  </si>
  <si>
    <t xml:space="preserve">AI agent exposure at Phase 1 launch (built, but dark until revenue exists)</t>
  </si>
  <si>
    <t xml:space="preserve">Race Engineering Agent (orchestrator → specialists → optimizer → synthesizer)</t>
  </si>
  <si>
    <t xml:space="preserve">Additional sim titles — iRacing / ACC (Phase 4 expansion)</t>
  </si>
  <si>
    <t xml:space="preserve">Roles (driver/garage-admin/product-admin), garages, quotas, metering, billing</t>
  </si>
  <si>
    <t xml:space="preserve">Live on-track / voice coaching (future premium tier, priced separately)</t>
  </si>
  <si>
    <t xml:space="preserve">MoTeC parsing (.ld binary, .ldx XML, .svm setup); corner-dossier guide system</t>
  </si>
  <si>
    <t xml:space="preserve">Native mobile application</t>
  </si>
  <si>
    <t xml:space="preserve">Server-side agent orchestration, prompt caching, cost-lever enforcement</t>
  </si>
  <si>
    <t xml:space="preserve">Setup marketplace, public profiles, leaderboards (later platform features)</t>
  </si>
  <si>
    <t xml:space="preserve">STAKEHOLDERS &amp; RESPONSIBILITY</t>
  </si>
  <si>
    <t xml:space="preserve">NAME</t>
  </si>
  <si>
    <t xml:space="preserve">ROLE</t>
  </si>
  <si>
    <t xml:space="preserve">RESPONSIBILITY</t>
  </si>
  <si>
    <t xml:space="preserve">CADENCE</t>
  </si>
  <si>
    <t xml:space="preserve">PMO / Product Owner</t>
  </si>
  <si>
    <t xml:space="preserve">Product + engineering decisions; accountable for delivery</t>
  </si>
  <si>
    <t xml:space="preserve">Continuous</t>
  </si>
  <si>
    <t xml:space="preserve">The ByteCraft Company</t>
  </si>
  <si>
    <t xml:space="preserve">Development partner</t>
  </si>
  <si>
    <t xml:space="preserve">Builds and ships the platform</t>
  </si>
  <si>
    <t xml:space="preserve">Weekly</t>
  </si>
  <si>
    <t xml:space="preserve">Claude (Anthropic API)</t>
  </si>
  <si>
    <t xml:space="preserve">AI build + runtime</t>
  </si>
  <si>
    <t xml:space="preserve">Agent orchestration engine; build assistance</t>
  </si>
  <si>
    <t xml:space="preserve">Per session / per run</t>
  </si>
  <si>
    <t xml:space="preserve">Axiom Black, LLC</t>
  </si>
  <si>
    <t xml:space="preserve">Sponsor / parent</t>
  </si>
  <si>
    <t xml:space="preserve">Approves scope, budget, brand</t>
  </si>
  <si>
    <t xml:space="preserve">Milestone reviews</t>
  </si>
  <si>
    <t xml:space="preserve">TO DO - CONSULTANT</t>
  </si>
  <si>
    <t xml:space="preserve">Create sanitized/anonymized .ld test fixture; commit repo &amp; push to GitHub</t>
  </si>
  <si>
    <t xml:space="preserve">Integrate Clerk JWT with role claims; enforce role gating at every API route</t>
  </si>
  <si>
    <t xml:space="preserve">Wire get_db() SET LOCAL tenant context; activate row-level security policies</t>
  </si>
  <si>
    <t xml:space="preserve">Migrate agent orchestration server-side; write per-run cost to agent_runs</t>
  </si>
  <si>
    <t xml:space="preserve">Enforce three cost levers: model tiering, prompt caching, run metering</t>
  </si>
  <si>
    <t xml:space="preserve">TO DO - CLIENT</t>
  </si>
  <si>
    <t xml:space="preserve">Provision accounts: Clerk (auth), Stripe (billing), hosting (Vercel/Netlify + Railway/Render/Fly)</t>
  </si>
  <si>
    <t xml:space="preserve">Register production domain; configure DNS</t>
  </si>
  <si>
    <t xml:space="preserve">Finalize plan-tier pricing (Rookie → Paddock) and usage-credit rates (3–7× cost)</t>
  </si>
  <si>
    <t xml:space="preserve">Decide Phase 1 launch date after deploy pipeline is green</t>
  </si>
  <si>
    <t xml:space="preserve">Supply any additional real LMU session exports for validation</t>
  </si>
  <si>
    <t xml:space="preserve">WBS</t>
  </si>
  <si>
    <t xml:space="preserve">WORK PACKAGE / TASK</t>
  </si>
  <si>
    <t xml:space="preserve">HRS</t>
  </si>
  <si>
    <t xml:space="preserve">1</t>
  </si>
  <si>
    <t xml:space="preserve">Telemetry Ingest</t>
  </si>
  <si>
    <t xml:space="preserve">.ld binary parser (70 channels)</t>
  </si>
  <si>
    <t xml:space="preserve">.ldx XML parser (lap + setup, truncation)</t>
  </si>
  <si>
    <t xml:space="preserve">.svm setup parser (INI, VE vs Fuel)</t>
  </si>
  <si>
    <t xml:space="preserve">Sanitized test fixture</t>
  </si>
  <si>
    <t xml:space="preserve">2</t>
  </si>
  <si>
    <t xml:space="preserve">Backend Platform</t>
  </si>
  <si>
    <t xml:space="preserve">FastAPI + async SQLAlchemy</t>
  </si>
  <si>
    <t xml:space="preserve">14-table ORM (identity/tenancy/sessions/TS)</t>
  </si>
  <si>
    <t xml:space="preserve">Metering service (3 cost levers)</t>
  </si>
  <si>
    <t xml:space="preserve">RLS tenant-isolation SQL</t>
  </si>
  <si>
    <t xml:space="preserve">Docker Compose + GitHub Actions CI</t>
  </si>
  <si>
    <t xml:space="preserve">3</t>
  </si>
  <si>
    <t xml:space="preserve">Identity &amp; Tenancy</t>
  </si>
  <si>
    <t xml:space="preserve">Clerk JWT + role claims</t>
  </si>
  <si>
    <t xml:space="preserve">get_db() SET LOCAL tenant context</t>
  </si>
  <si>
    <t xml:space="preserve">Garage seats + invite flow</t>
  </si>
  <si>
    <t xml:space="preserve">4</t>
  </si>
  <si>
    <t xml:space="preserve">Race Engineering Agent</t>
  </si>
  <si>
    <t xml:space="preserve">Orchestrator + Synthesizer</t>
  </si>
  <si>
    <t xml:space="preserve">Claude</t>
  </si>
  <si>
    <t xml:space="preserve">Specialists: aero/tire/powertrain/tel/strat/env</t>
  </si>
  <si>
    <t xml:space="preserve">4.3</t>
  </si>
  <si>
    <t xml:space="preserve">Optimizer (KPI generation)</t>
  </si>
  <si>
    <t xml:space="preserve">4.4</t>
  </si>
  <si>
    <t xml:space="preserve">Server-side migration</t>
  </si>
  <si>
    <t xml:space="preserve">4.5</t>
  </si>
  <si>
    <t xml:space="preserve">Model tiering + prompt caching + metering</t>
  </si>
  <si>
    <t xml:space="preserve">5</t>
  </si>
  <si>
    <t xml:space="preserve">Frontend</t>
  </si>
  <si>
    <t xml:space="preserve">5.1</t>
  </si>
  <si>
    <t xml:space="preserve">Session upload + telemetry viewer</t>
  </si>
  <si>
    <t xml:space="preserve">5.2</t>
  </si>
  <si>
    <t xml:space="preserve">Driver dashboard (v12 merged)</t>
  </si>
  <si>
    <t xml:space="preserve">5.3</t>
  </si>
  <si>
    <t xml:space="preserve">Trend / progression view</t>
  </si>
  <si>
    <t xml:space="preserve">5.4</t>
  </si>
  <si>
    <t xml:space="preserve">Garage + admin dashboards</t>
  </si>
  <si>
    <t xml:space="preserve">5.5</t>
  </si>
  <si>
    <t xml:space="preserve">Corner-dossier guide system</t>
  </si>
  <si>
    <t xml:space="preserve">6</t>
  </si>
  <si>
    <t xml:space="preserve">Billing &amp; Pricing</t>
  </si>
  <si>
    <t xml:space="preserve">6.1</t>
  </si>
  <si>
    <t xml:space="preserve">6.2</t>
  </si>
  <si>
    <t xml:space="preserve">Usage credits (3–7× cost)</t>
  </si>
  <si>
    <t xml:space="preserve">6.3</t>
  </si>
  <si>
    <t xml:space="preserve">Quota enforcement + upgrade path</t>
  </si>
  <si>
    <t xml:space="preserve">7</t>
  </si>
  <si>
    <t xml:space="preserve">Deployment &amp; Ops</t>
  </si>
  <si>
    <t xml:space="preserve">7.1</t>
  </si>
  <si>
    <t xml:space="preserve">Hosting (frontend + backend + Postgres)</t>
  </si>
  <si>
    <t xml:space="preserve">7.2</t>
  </si>
  <si>
    <t xml:space="preserve">TimescaleDB hypertable</t>
  </si>
  <si>
    <t xml:space="preserve">7.3</t>
  </si>
  <si>
    <t xml:space="preserve">Monitoring (Sentry)</t>
  </si>
  <si>
    <t xml:space="preserve">FEATURE</t>
  </si>
  <si>
    <t xml:space="preserve">SUB FEATURE/CAPABILITY</t>
  </si>
  <si>
    <t xml:space="preserve">USER VALE</t>
  </si>
  <si>
    <t xml:space="preserve">MoSCoW</t>
  </si>
  <si>
    <t xml:space="preserve">Telemetry Dashboard</t>
  </si>
  <si>
    <t xml:space="preserve">70-channel breakdown + traces</t>
  </si>
  <si>
    <t xml:space="preserve">See exactly what the car did</t>
  </si>
  <si>
    <t xml:space="preserve">Must</t>
  </si>
  <si>
    <t xml:space="preserve">Prototyped</t>
  </si>
  <si>
    <t xml:space="preserve">Setup sheet view (.svm)</t>
  </si>
  <si>
    <t xml:space="preserve">Cause behind the telemetry effect</t>
  </si>
  <si>
    <t xml:space="preserve">Unreliable-channel flagging</t>
  </si>
  <si>
    <t xml:space="preserve">Honest data (ambient/track temp)</t>
  </si>
  <si>
    <t xml:space="preserve">Session History</t>
  </si>
  <si>
    <t xml:space="preserve">Saved sessions per user</t>
  </si>
  <si>
    <t xml:space="preserve">Keep and revisit past runs</t>
  </si>
  <si>
    <t xml:space="preserve">Planned</t>
  </si>
  <si>
    <t xml:space="preserve">Trend / Progression</t>
  </si>
  <si>
    <t xml:space="preserve">Best-lap + consistency across sessions</t>
  </si>
  <si>
    <t xml:space="preserve">Prove you are improving</t>
  </si>
  <si>
    <t xml:space="preserve">Car-level filter dimension</t>
  </si>
  <si>
    <t xml:space="preserve">Compare within a class</t>
  </si>
  <si>
    <t xml:space="preserve">Could</t>
  </si>
  <si>
    <t xml:space="preserve">Backlog</t>
  </si>
  <si>
    <t xml:space="preserve">Orchestrated specialist agents</t>
  </si>
  <si>
    <t xml:space="preserve">Engineer the car, not coach driver</t>
  </si>
  <si>
    <t xml:space="preserve">Must (P2)</t>
  </si>
  <si>
    <t xml:space="preserve">Modes: brief / debrief / monitor</t>
  </si>
  <si>
    <t xml:space="preserve">Right analysis for the moment</t>
  </si>
  <si>
    <t xml:space="preserve">Should</t>
  </si>
  <si>
    <t xml:space="preserve">KPI Optimizer + Synthesizer</t>
  </si>
  <si>
    <t xml:space="preserve">Actionable trade-offs</t>
  </si>
  <si>
    <t xml:space="preserve">Server-side + metered runs</t>
  </si>
  <si>
    <t xml:space="preserve">Cost-safe at scale</t>
  </si>
  <si>
    <t xml:space="preserve">Hold</t>
  </si>
  <si>
    <t xml:space="preserve">Corner Dossiers</t>
  </si>
  <si>
    <t xml:space="preserve">One-page-per-corner guides</t>
  </si>
  <si>
    <t xml:space="preserve">Scannable track mastery</t>
  </si>
  <si>
    <t xml:space="preserve">Garages / Teams</t>
  </si>
  <si>
    <t xml:space="preserve">Pooled quota, invite, admin</t>
  </si>
  <si>
    <t xml:space="preserve">Team-level engineering</t>
  </si>
  <si>
    <t xml:space="preserve">Roles</t>
  </si>
  <si>
    <t xml:space="preserve">driver / garage-admin / product-admin</t>
  </si>
  <si>
    <t xml:space="preserve">Right access per user</t>
  </si>
  <si>
    <t xml:space="preserve">Client-side only</t>
  </si>
  <si>
    <t xml:space="preserve">Billing</t>
  </si>
  <si>
    <t xml:space="preserve">Plan tiers + Stripe</t>
  </si>
  <si>
    <t xml:space="preserve">Turn usage into revenue</t>
  </si>
  <si>
    <t xml:space="preserve">Usage credits (overage layer)</t>
  </si>
  <si>
    <t xml:space="preserve">Convert heavy users to revenue</t>
  </si>
  <si>
    <t xml:space="preserve">Live / Voice Coaching</t>
  </si>
  <si>
    <t xml:space="preserve">Real-time on-track</t>
  </si>
  <si>
    <t xml:space="preserve">Premium differentiation</t>
  </si>
  <si>
    <t xml:space="preserve">Won't (now)</t>
  </si>
  <si>
    <t xml:space="preserve">Future tier</t>
  </si>
  <si>
    <t xml:space="preserve">Multi-sim</t>
  </si>
  <si>
    <t xml:space="preserve">iRacing / ACC ingest</t>
  </si>
  <si>
    <t xml:space="preserve">Grow addressable market</t>
  </si>
  <si>
    <t xml:space="preserve">Phase 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</si>
</sst>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sz val="11"/>
      <name val="Aptos Narrow"/>
      <family val="0"/>
      <charset val="1"/>
    </font>
    <font>
      <b val="true"/>
      <sz val="11"/>
      <name val="Aptos Narrow"/>
      <family val="0"/>
      <charset val="1"/>
    </font>
    <font>
      <b val="true"/>
      <sz val="11"/>
      <color theme="1"/>
      <name val="Aptos Narrow"/>
      <family val="2"/>
      <charset val="1"/>
    </font>
    <font>
      <b val="true"/>
      <sz val="9"/>
      <name val="Aptos Narrow"/>
      <family val="0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sz val="10"/>
      <color rgb="FF595959"/>
      <name val="Aptos Narrow"/>
      <family val="2"/>
    </font>
    <font>
      <b val="true"/>
      <sz val="10"/>
      <color theme="0"/>
      <name val="Aptos Narrow"/>
      <family val="2"/>
      <charset val="1"/>
    </font>
    <font>
      <sz val="11"/>
      <name val="Aptos Narrow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 tint="0.0499"/>
        <bgColor rgb="FF000000"/>
      </patternFill>
    </fill>
    <fill>
      <patternFill patternType="solid">
        <fgColor theme="3" tint="0.2499"/>
        <bgColor rgb="FF156082"/>
      </patternFill>
    </fill>
    <fill>
      <patternFill patternType="solid">
        <fgColor theme="5"/>
        <bgColor rgb="FFFF8080"/>
      </patternFill>
    </fill>
    <fill>
      <patternFill patternType="solid">
        <fgColor theme="9"/>
        <bgColor rgb="FF808000"/>
      </patternFill>
    </fill>
    <fill>
      <patternFill patternType="solid">
        <fgColor theme="4"/>
        <bgColor rgb="FF215F9A"/>
      </patternFill>
    </fill>
    <fill>
      <patternFill patternType="solid">
        <fgColor theme="1"/>
        <bgColor rgb="FF0D0D0D"/>
      </patternFill>
    </fill>
    <fill>
      <patternFill patternType="solid">
        <fgColor theme="0" tint="-0.15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4EA72E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  <fill>
      <patternFill patternType="solid">
        <fgColor theme="1" tint="0.4999"/>
        <bgColor rgb="FF808080"/>
      </patternFill>
    </fill>
    <fill>
      <patternFill patternType="solid">
        <fgColor theme="0" tint="-0.5"/>
        <bgColor rgb="FF7F7F7F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8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10" borderId="1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9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11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10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9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2" borderId="1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12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8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9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9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1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13" borderId="1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2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9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8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1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2" borderId="1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1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9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10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11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1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1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15F9A"/>
      <rgbColor rgb="FFD9D9D9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97132"/>
      <rgbColor rgb="FF595959"/>
      <rgbColor rgb="FF7F7F7F"/>
      <rgbColor rgb="FF003366"/>
      <rgbColor rgb="FF4EA72E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Burndown Chart</a:t>
            </a:r>
          </a:p>
        </c:rich>
      </c:tx>
      <c:layout>
        <c:manualLayout>
          <c:xMode val="edge"/>
          <c:yMode val="edge"/>
          <c:x val="0.37572432182965"/>
          <c:y val="0.0416340891321345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'Burndown Charts'!$B$5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000000"/>
            </a:solidFill>
            <a:ln cap="rnd" w="15840">
              <a:solidFill>
                <a:srgbClr val="000000"/>
              </a:solidFill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'Burndown Charts'!$A$6:$A$21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'Burndown Charts'!$B$6:$B$21</c:f>
              <c:numCache>
                <c:formatCode>0%</c:formatCode>
                <c:ptCount val="16"/>
                <c:pt idx="0">
                  <c:v>1</c:v>
                </c:pt>
                <c:pt idx="1">
                  <c:v>0.933333333333333</c:v>
                </c:pt>
                <c:pt idx="2">
                  <c:v>0.866666666666667</c:v>
                </c:pt>
                <c:pt idx="3">
                  <c:v>0.8</c:v>
                </c:pt>
                <c:pt idx="4">
                  <c:v>0.733333333333333</c:v>
                </c:pt>
                <c:pt idx="5">
                  <c:v>0.666666666666667</c:v>
                </c:pt>
                <c:pt idx="6">
                  <c:v>0.6</c:v>
                </c:pt>
                <c:pt idx="7">
                  <c:v>0.533333333333333</c:v>
                </c:pt>
                <c:pt idx="8">
                  <c:v>0.466666666666667</c:v>
                </c:pt>
                <c:pt idx="9">
                  <c:v>0.4</c:v>
                </c:pt>
                <c:pt idx="10">
                  <c:v>0.333333333333333</c:v>
                </c:pt>
                <c:pt idx="11">
                  <c:v>0.266666666666667</c:v>
                </c:pt>
                <c:pt idx="12">
                  <c:v>0.2</c:v>
                </c:pt>
                <c:pt idx="13">
                  <c:v>0.133333333333333</c:v>
                </c:pt>
                <c:pt idx="14">
                  <c:v>0.0666666666666667</c:v>
                </c:pt>
                <c:pt idx="15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'Burndown Charts'!$C$5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prstDash val="sysDot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'Burndown Charts'!$A$6:$A$21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'Burndown Charts'!$C$6:$C$21</c:f>
              <c:numCache>
                <c:formatCode>0%</c:formatCode>
                <c:ptCount val="16"/>
                <c:pt idx="0">
                  <c:v>1</c:v>
                </c:pt>
              </c:numCache>
            </c:numRef>
          </c:yVal>
          <c:smooth val="1"/>
        </c:ser>
        <c:axId val="23156474"/>
        <c:axId val="21821718"/>
      </c:scatterChart>
      <c:valAx>
        <c:axId val="231564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Aptos Narrow"/>
                  </a:rPr>
                  <a:t>Timeline (Weeks)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1821718"/>
        <c:crosses val="autoZero"/>
        <c:crossBetween val="midCat"/>
      </c:valAx>
      <c:valAx>
        <c:axId val="218217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Aptos Narrow"/>
                  </a:rPr>
                  <a:t>% of Tasks Remaining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315647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11160</xdr:colOff>
      <xdr:row>7</xdr:row>
      <xdr:rowOff>128160</xdr:rowOff>
    </xdr:from>
    <xdr:to>
      <xdr:col>8</xdr:col>
      <xdr:colOff>504000</xdr:colOff>
      <xdr:row>28</xdr:row>
      <xdr:rowOff>10800</xdr:rowOff>
    </xdr:to>
    <xdr:graphicFrame>
      <xdr:nvGraphicFramePr>
        <xdr:cNvPr id="0" name="Chart 1"/>
        <xdr:cNvGraphicFramePr/>
      </xdr:nvGraphicFramePr>
      <xdr:xfrm>
        <a:off x="11160" y="3962160"/>
        <a:ext cx="7020000" cy="368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I33" activeCellId="0" sqref="I33"/>
    </sheetView>
  </sheetViews>
  <sheetFormatPr defaultColWidth="8.84375" defaultRowHeight="14.25" zeroHeight="false" outlineLevelRow="0" outlineLevelCol="0"/>
  <cols>
    <col collapsed="false" customWidth="false" hidden="false" outlineLevel="0" max="16384" min="1" style="1" width="8.84"/>
  </cols>
  <sheetData>
    <row r="1" customFormat="false" ht="14.25" hidden="false" customHeight="true" outlineLevel="0" collapsed="false">
      <c r="A1" s="2" t="s">
        <v>0</v>
      </c>
      <c r="B1" s="2"/>
      <c r="C1" s="3" t="s">
        <v>1</v>
      </c>
      <c r="D1" s="3"/>
      <c r="E1" s="3"/>
      <c r="F1" s="3" t="s">
        <v>2</v>
      </c>
      <c r="G1" s="3"/>
      <c r="H1" s="3"/>
      <c r="I1" s="4" t="s">
        <v>3</v>
      </c>
      <c r="J1" s="4"/>
    </row>
    <row r="2" customFormat="false" ht="14.25" hidden="false" customHeight="true" outlineLevel="0" collapsed="false">
      <c r="A2" s="5" t="s">
        <v>4</v>
      </c>
      <c r="B2" s="5"/>
      <c r="C2" s="6" t="s">
        <v>5</v>
      </c>
      <c r="D2" s="6"/>
      <c r="E2" s="6"/>
      <c r="F2" s="7" t="s">
        <v>6</v>
      </c>
      <c r="G2" s="7"/>
      <c r="H2" s="7"/>
      <c r="I2" s="7" t="s">
        <v>7</v>
      </c>
      <c r="J2" s="7"/>
    </row>
    <row r="3" customFormat="false" ht="14.25" hidden="false" customHeight="true" outlineLevel="0" collapsed="false">
      <c r="A3" s="5"/>
      <c r="B3" s="5"/>
      <c r="C3" s="6" t="s">
        <v>8</v>
      </c>
      <c r="D3" s="6"/>
      <c r="E3" s="6"/>
      <c r="F3" s="7" t="s">
        <v>9</v>
      </c>
      <c r="G3" s="7"/>
      <c r="H3" s="7"/>
      <c r="I3" s="7" t="s">
        <v>10</v>
      </c>
      <c r="J3" s="7"/>
    </row>
    <row r="4" customFormat="false" ht="14.25" hidden="false" customHeight="true" outlineLevel="0" collapsed="false">
      <c r="A4" s="5"/>
      <c r="B4" s="5"/>
      <c r="C4" s="6" t="s">
        <v>11</v>
      </c>
      <c r="D4" s="6"/>
      <c r="E4" s="6"/>
      <c r="F4" s="7" t="s">
        <v>12</v>
      </c>
      <c r="G4" s="7"/>
      <c r="H4" s="7"/>
      <c r="I4" s="7" t="s">
        <v>13</v>
      </c>
      <c r="J4" s="7"/>
    </row>
    <row r="5" customFormat="false" ht="14.25" hidden="false" customHeight="true" outlineLevel="0" collapsed="false">
      <c r="A5" s="5"/>
      <c r="B5" s="5"/>
      <c r="C5" s="6" t="s">
        <v>14</v>
      </c>
      <c r="D5" s="6"/>
      <c r="E5" s="6"/>
      <c r="F5" s="7" t="s">
        <v>15</v>
      </c>
      <c r="G5" s="7"/>
      <c r="H5" s="7"/>
      <c r="I5" s="7" t="s">
        <v>16</v>
      </c>
      <c r="J5" s="7"/>
    </row>
    <row r="6" customFormat="false" ht="14.25" hidden="false" customHeight="true" outlineLevel="0" collapsed="false">
      <c r="A6" s="5"/>
      <c r="B6" s="5"/>
      <c r="C6" s="6" t="s">
        <v>17</v>
      </c>
      <c r="D6" s="6"/>
      <c r="E6" s="6"/>
      <c r="F6" s="6" t="s">
        <v>18</v>
      </c>
      <c r="G6" s="6"/>
      <c r="H6" s="6"/>
      <c r="I6" s="6" t="s">
        <v>19</v>
      </c>
      <c r="J6" s="6"/>
    </row>
    <row r="7" customFormat="false" ht="14.25" hidden="false" customHeight="true" outlineLevel="0" collapsed="false">
      <c r="A7" s="5"/>
      <c r="B7" s="5"/>
      <c r="C7" s="6" t="s">
        <v>20</v>
      </c>
      <c r="D7" s="6"/>
      <c r="E7" s="6"/>
      <c r="F7" s="6" t="s">
        <v>21</v>
      </c>
      <c r="G7" s="6"/>
      <c r="H7" s="6"/>
      <c r="I7" s="8"/>
      <c r="J7" s="8"/>
    </row>
    <row r="8" customFormat="false" ht="14.25" hidden="false" customHeight="true" outlineLevel="0" collapsed="false">
      <c r="A8" s="5"/>
      <c r="B8" s="5"/>
      <c r="C8" s="8"/>
      <c r="D8" s="8"/>
      <c r="E8" s="8"/>
      <c r="F8" s="8"/>
      <c r="G8" s="8"/>
      <c r="H8" s="8"/>
      <c r="I8" s="8"/>
      <c r="J8" s="8"/>
    </row>
    <row r="9" customFormat="false" ht="14.25" hidden="false" customHeight="true" outlineLevel="0" collapsed="false">
      <c r="A9" s="5"/>
      <c r="B9" s="5"/>
      <c r="C9" s="8"/>
      <c r="D9" s="8"/>
      <c r="E9" s="8"/>
      <c r="F9" s="8"/>
      <c r="G9" s="8"/>
      <c r="H9" s="8"/>
      <c r="I9" s="8"/>
      <c r="J9" s="8"/>
    </row>
    <row r="10" customFormat="false" ht="14.25" hidden="false" customHeight="true" outlineLevel="0" collapsed="false">
      <c r="A10" s="5"/>
      <c r="B10" s="5"/>
      <c r="C10" s="8"/>
      <c r="D10" s="8"/>
      <c r="E10" s="8"/>
      <c r="F10" s="8"/>
      <c r="G10" s="8"/>
      <c r="H10" s="8"/>
      <c r="I10" s="8"/>
      <c r="J10" s="8"/>
    </row>
    <row r="11" customFormat="false" ht="14.25" hidden="false" customHeight="true" outlineLevel="0" collapsed="false">
      <c r="A11" s="5"/>
      <c r="B11" s="5"/>
      <c r="C11" s="8"/>
      <c r="D11" s="8"/>
      <c r="E11" s="8"/>
      <c r="F11" s="8"/>
      <c r="G11" s="8"/>
      <c r="H11" s="8"/>
      <c r="I11" s="8"/>
      <c r="J11" s="8"/>
    </row>
    <row r="12" customFormat="false" ht="14.25" hidden="false" customHeight="true" outlineLevel="0" collapsed="false">
      <c r="A12" s="5"/>
      <c r="B12" s="5"/>
      <c r="C12" s="8"/>
      <c r="D12" s="8"/>
      <c r="E12" s="8"/>
      <c r="F12" s="8"/>
      <c r="G12" s="8"/>
      <c r="H12" s="8"/>
      <c r="I12" s="8"/>
      <c r="J12" s="8"/>
    </row>
    <row r="13" customFormat="false" ht="14.25" hidden="false" customHeight="true" outlineLevel="0" collapsed="false">
      <c r="A13" s="5"/>
      <c r="B13" s="5"/>
      <c r="C13" s="8"/>
      <c r="D13" s="8"/>
      <c r="E13" s="8"/>
      <c r="F13" s="8"/>
      <c r="G13" s="8"/>
      <c r="H13" s="8"/>
      <c r="I13" s="8"/>
      <c r="J13" s="8"/>
    </row>
    <row r="14" customFormat="false" ht="14.25" hidden="false" customHeight="true" outlineLevel="0" collapsed="false">
      <c r="A14" s="5"/>
      <c r="B14" s="5"/>
      <c r="C14" s="8"/>
      <c r="D14" s="8"/>
      <c r="E14" s="8"/>
      <c r="F14" s="8"/>
      <c r="G14" s="8"/>
      <c r="H14" s="8"/>
      <c r="I14" s="8"/>
      <c r="J14" s="8"/>
    </row>
    <row r="15" customFormat="false" ht="14.25" hidden="false" customHeight="true" outlineLevel="0" collapsed="false"/>
    <row r="16" customFormat="false" ht="14.25" hidden="false" customHeight="true" outlineLevel="0" collapsed="false">
      <c r="A16" s="9" t="s">
        <v>22</v>
      </c>
      <c r="B16" s="9"/>
      <c r="C16" s="10" t="s">
        <v>23</v>
      </c>
      <c r="D16" s="11"/>
      <c r="E16" s="12"/>
      <c r="F16" s="13" t="s">
        <v>24</v>
      </c>
      <c r="G16" s="14"/>
      <c r="H16" s="15"/>
      <c r="I16" s="13" t="s">
        <v>25</v>
      </c>
      <c r="J16" s="15"/>
    </row>
    <row r="17" customFormat="false" ht="14.25" hidden="false" customHeight="true" outlineLevel="0" collapsed="false">
      <c r="A17" s="9"/>
      <c r="B17" s="9"/>
      <c r="C17" s="10" t="s">
        <v>26</v>
      </c>
      <c r="D17" s="11"/>
      <c r="E17" s="12"/>
      <c r="F17" s="13" t="s">
        <v>27</v>
      </c>
      <c r="G17" s="14"/>
      <c r="H17" s="15"/>
      <c r="I17" s="13" t="s">
        <v>28</v>
      </c>
      <c r="J17" s="15"/>
    </row>
    <row r="18" customFormat="false" ht="14.25" hidden="false" customHeight="true" outlineLevel="0" collapsed="false">
      <c r="A18" s="9"/>
      <c r="B18" s="9"/>
      <c r="C18" s="10" t="s">
        <v>29</v>
      </c>
      <c r="D18" s="11"/>
      <c r="E18" s="12"/>
      <c r="F18" s="13" t="s">
        <v>30</v>
      </c>
      <c r="G18" s="14"/>
      <c r="H18" s="15"/>
      <c r="I18" s="13" t="s">
        <v>31</v>
      </c>
      <c r="J18" s="15"/>
    </row>
    <row r="19" customFormat="false" ht="14.25" hidden="false" customHeight="true" outlineLevel="0" collapsed="false">
      <c r="A19" s="9"/>
      <c r="B19" s="9"/>
      <c r="C19" s="10" t="s">
        <v>32</v>
      </c>
      <c r="D19" s="11"/>
      <c r="E19" s="12"/>
      <c r="F19" s="13" t="s">
        <v>33</v>
      </c>
      <c r="G19" s="14"/>
      <c r="H19" s="15"/>
      <c r="I19" s="16"/>
      <c r="J19" s="15"/>
    </row>
    <row r="20" customFormat="false" ht="14.25" hidden="false" customHeight="true" outlineLevel="0" collapsed="false">
      <c r="A20" s="9"/>
      <c r="B20" s="9"/>
      <c r="C20" s="17"/>
      <c r="D20" s="11"/>
      <c r="E20" s="12"/>
      <c r="F20" s="17"/>
      <c r="G20" s="11"/>
      <c r="H20" s="12"/>
      <c r="I20" s="17"/>
      <c r="J20" s="12"/>
    </row>
    <row r="21" customFormat="false" ht="14.25" hidden="false" customHeight="true" outlineLevel="0" collapsed="false">
      <c r="A21" s="9"/>
      <c r="B21" s="9"/>
      <c r="C21" s="17"/>
      <c r="D21" s="11"/>
      <c r="E21" s="12"/>
      <c r="F21" s="17"/>
      <c r="G21" s="11"/>
      <c r="H21" s="12"/>
      <c r="I21" s="17"/>
      <c r="J21" s="12"/>
    </row>
    <row r="22" customFormat="false" ht="14.25" hidden="false" customHeight="true" outlineLevel="0" collapsed="false">
      <c r="A22" s="9"/>
      <c r="B22" s="9"/>
      <c r="C22" s="17"/>
      <c r="D22" s="11"/>
      <c r="E22" s="12"/>
      <c r="F22" s="17"/>
      <c r="G22" s="11"/>
      <c r="H22" s="12"/>
      <c r="I22" s="17"/>
      <c r="J22" s="12"/>
    </row>
    <row r="23" customFormat="false" ht="14.25" hidden="false" customHeight="true" outlineLevel="0" collapsed="false">
      <c r="A23" s="9"/>
      <c r="B23" s="9"/>
      <c r="C23" s="17"/>
      <c r="D23" s="11"/>
      <c r="E23" s="12"/>
      <c r="F23" s="17"/>
      <c r="G23" s="11"/>
      <c r="H23" s="12"/>
      <c r="I23" s="17"/>
      <c r="J23" s="12"/>
    </row>
    <row r="24" customFormat="false" ht="14.25" hidden="false" customHeight="true" outlineLevel="0" collapsed="false">
      <c r="A24" s="9"/>
      <c r="B24" s="9"/>
      <c r="C24" s="17"/>
      <c r="D24" s="11"/>
      <c r="E24" s="12"/>
      <c r="F24" s="17"/>
      <c r="G24" s="11"/>
      <c r="H24" s="12"/>
      <c r="I24" s="17"/>
      <c r="J24" s="12"/>
    </row>
    <row r="25" customFormat="false" ht="14.25" hidden="false" customHeight="true" outlineLevel="0" collapsed="false">
      <c r="A25" s="9"/>
      <c r="B25" s="9"/>
      <c r="C25" s="17"/>
      <c r="D25" s="11"/>
      <c r="E25" s="12"/>
      <c r="F25" s="17"/>
      <c r="G25" s="11"/>
      <c r="H25" s="12"/>
      <c r="I25" s="17"/>
      <c r="J25" s="12"/>
    </row>
    <row r="26" customFormat="false" ht="14.25" hidden="false" customHeight="true" outlineLevel="0" collapsed="false">
      <c r="A26" s="9"/>
      <c r="B26" s="9"/>
      <c r="C26" s="17"/>
      <c r="D26" s="11"/>
      <c r="E26" s="12"/>
      <c r="F26" s="17"/>
      <c r="G26" s="11"/>
      <c r="H26" s="12"/>
      <c r="I26" s="17"/>
      <c r="J26" s="12"/>
    </row>
    <row r="27" customFormat="false" ht="14.25" hidden="false" customHeight="true" outlineLevel="0" collapsed="false">
      <c r="A27" s="9"/>
      <c r="B27" s="9"/>
      <c r="C27" s="17"/>
      <c r="D27" s="11"/>
      <c r="E27" s="12"/>
      <c r="F27" s="17"/>
      <c r="G27" s="11"/>
      <c r="H27" s="12"/>
      <c r="I27" s="17"/>
      <c r="J27" s="12"/>
    </row>
    <row r="28" customFormat="false" ht="14.25" hidden="false" customHeight="true" outlineLevel="0" collapsed="false">
      <c r="A28" s="9"/>
      <c r="B28" s="9"/>
      <c r="C28" s="17"/>
      <c r="D28" s="11"/>
      <c r="E28" s="12"/>
      <c r="F28" s="17"/>
      <c r="G28" s="11"/>
      <c r="H28" s="12"/>
      <c r="I28" s="17"/>
      <c r="J28" s="12"/>
    </row>
    <row r="29" customFormat="false" ht="14.25" hidden="false" customHeight="true" outlineLevel="0" collapsed="false"/>
    <row r="30" customFormat="false" ht="14.25" hidden="false" customHeight="true" outlineLevel="0" collapsed="false">
      <c r="A30" s="18" t="s">
        <v>34</v>
      </c>
      <c r="B30" s="18"/>
      <c r="C30" s="6" t="s">
        <v>35</v>
      </c>
      <c r="D30" s="6"/>
      <c r="E30" s="6"/>
      <c r="F30" s="6" t="s">
        <v>36</v>
      </c>
      <c r="G30" s="6"/>
      <c r="H30" s="6"/>
      <c r="I30" s="6" t="s">
        <v>37</v>
      </c>
      <c r="J30" s="6"/>
    </row>
    <row r="31" customFormat="false" ht="14.25" hidden="false" customHeight="true" outlineLevel="0" collapsed="false">
      <c r="A31" s="18"/>
      <c r="B31" s="18"/>
      <c r="C31" s="6" t="s">
        <v>38</v>
      </c>
      <c r="D31" s="6"/>
      <c r="E31" s="6"/>
      <c r="F31" s="6" t="s">
        <v>39</v>
      </c>
      <c r="G31" s="6"/>
      <c r="H31" s="6"/>
      <c r="I31" s="6" t="s">
        <v>40</v>
      </c>
      <c r="J31" s="6"/>
    </row>
    <row r="32" customFormat="false" ht="14.25" hidden="false" customHeight="true" outlineLevel="0" collapsed="false">
      <c r="A32" s="18"/>
      <c r="B32" s="18"/>
      <c r="C32" s="6" t="s">
        <v>41</v>
      </c>
      <c r="D32" s="6"/>
      <c r="E32" s="6"/>
      <c r="F32" s="6" t="s">
        <v>42</v>
      </c>
      <c r="G32" s="6"/>
      <c r="H32" s="6"/>
      <c r="I32" s="6" t="s">
        <v>43</v>
      </c>
      <c r="J32" s="6"/>
    </row>
    <row r="33" customFormat="false" ht="14.25" hidden="false" customHeight="true" outlineLevel="0" collapsed="false">
      <c r="A33" s="18"/>
      <c r="B33" s="18"/>
      <c r="C33" s="8"/>
      <c r="D33" s="8"/>
      <c r="E33" s="8"/>
      <c r="F33" s="8"/>
      <c r="G33" s="8"/>
      <c r="H33" s="8"/>
      <c r="I33" s="6" t="s">
        <v>44</v>
      </c>
      <c r="J33" s="6"/>
    </row>
    <row r="34" customFormat="false" ht="14.25" hidden="false" customHeight="true" outlineLevel="0" collapsed="false">
      <c r="A34" s="18"/>
      <c r="B34" s="18"/>
      <c r="C34" s="8"/>
      <c r="D34" s="8"/>
      <c r="E34" s="8"/>
      <c r="F34" s="8"/>
      <c r="G34" s="8"/>
      <c r="H34" s="8"/>
      <c r="I34" s="8"/>
      <c r="J34" s="8"/>
    </row>
    <row r="35" customFormat="false" ht="14.25" hidden="false" customHeight="true" outlineLevel="0" collapsed="false">
      <c r="A35" s="18"/>
      <c r="B35" s="18"/>
      <c r="C35" s="8"/>
      <c r="D35" s="8"/>
      <c r="E35" s="8"/>
      <c r="F35" s="8"/>
      <c r="G35" s="8"/>
      <c r="H35" s="8"/>
      <c r="I35" s="8"/>
      <c r="J35" s="8"/>
    </row>
    <row r="36" customFormat="false" ht="14.25" hidden="false" customHeight="true" outlineLevel="0" collapsed="false">
      <c r="A36" s="18"/>
      <c r="B36" s="18"/>
      <c r="C36" s="8"/>
      <c r="D36" s="8"/>
      <c r="E36" s="8"/>
      <c r="F36" s="8"/>
      <c r="G36" s="8"/>
      <c r="H36" s="8"/>
      <c r="I36" s="8"/>
      <c r="J36" s="8"/>
    </row>
    <row r="37" customFormat="false" ht="14.25" hidden="false" customHeight="true" outlineLevel="0" collapsed="false">
      <c r="A37" s="18"/>
      <c r="B37" s="18"/>
      <c r="C37" s="8"/>
      <c r="D37" s="8"/>
      <c r="E37" s="8"/>
      <c r="F37" s="8"/>
      <c r="G37" s="8"/>
      <c r="H37" s="8"/>
      <c r="I37" s="8"/>
      <c r="J37" s="8"/>
    </row>
    <row r="38" customFormat="false" ht="14.25" hidden="false" customHeight="true" outlineLevel="0" collapsed="false">
      <c r="A38" s="18"/>
      <c r="B38" s="18"/>
      <c r="C38" s="8"/>
      <c r="D38" s="8"/>
      <c r="E38" s="8"/>
      <c r="F38" s="8"/>
      <c r="G38" s="8"/>
      <c r="H38" s="8"/>
      <c r="I38" s="8"/>
      <c r="J38" s="8"/>
    </row>
    <row r="39" customFormat="false" ht="14.25" hidden="false" customHeight="true" outlineLevel="0" collapsed="false">
      <c r="A39" s="18"/>
      <c r="B39" s="18"/>
      <c r="C39" s="8"/>
      <c r="D39" s="8"/>
      <c r="E39" s="8"/>
      <c r="F39" s="8"/>
      <c r="G39" s="8"/>
      <c r="H39" s="8"/>
      <c r="I39" s="8"/>
      <c r="J39" s="8"/>
    </row>
    <row r="40" customFormat="false" ht="14.25" hidden="false" customHeight="true" outlineLevel="0" collapsed="false">
      <c r="A40" s="18"/>
      <c r="B40" s="18"/>
      <c r="C40" s="8"/>
      <c r="D40" s="8"/>
      <c r="E40" s="8"/>
      <c r="F40" s="8"/>
      <c r="G40" s="8"/>
      <c r="H40" s="8"/>
      <c r="I40" s="8"/>
      <c r="J40" s="8"/>
    </row>
    <row r="41" customFormat="false" ht="14.25" hidden="false" customHeight="true" outlineLevel="0" collapsed="false">
      <c r="A41" s="18"/>
      <c r="B41" s="18"/>
      <c r="C41" s="8"/>
      <c r="D41" s="8"/>
      <c r="E41" s="8"/>
      <c r="F41" s="8"/>
      <c r="G41" s="8"/>
      <c r="H41" s="8"/>
      <c r="I41" s="8"/>
      <c r="J41" s="8"/>
    </row>
    <row r="42" customFormat="false" ht="14.25" hidden="false" customHeight="true" outlineLevel="0" collapsed="false">
      <c r="A42" s="18"/>
      <c r="B42" s="18"/>
      <c r="C42" s="8"/>
      <c r="D42" s="8"/>
      <c r="E42" s="8"/>
      <c r="F42" s="8"/>
      <c r="G42" s="8"/>
      <c r="H42" s="8"/>
      <c r="I42" s="8"/>
      <c r="J42" s="8"/>
    </row>
    <row r="43" customFormat="false" ht="14.25" hidden="false" customHeight="true" outlineLevel="0" collapsed="false"/>
    <row r="44" customFormat="false" ht="14.25" hidden="false" customHeight="true" outlineLevel="0" collapsed="false">
      <c r="A44" s="8" t="s">
        <v>45</v>
      </c>
      <c r="B44" s="8"/>
      <c r="C44" s="6" t="s">
        <v>46</v>
      </c>
      <c r="D44" s="6"/>
      <c r="E44" s="6"/>
      <c r="F44" s="6"/>
      <c r="G44" s="6"/>
      <c r="H44" s="6"/>
      <c r="I44" s="6"/>
      <c r="J44" s="6"/>
    </row>
  </sheetData>
  <mergeCells count="87">
    <mergeCell ref="A1:B1"/>
    <mergeCell ref="C1:E1"/>
    <mergeCell ref="F1:H1"/>
    <mergeCell ref="I1:J1"/>
    <mergeCell ref="A2:B14"/>
    <mergeCell ref="C2:E2"/>
    <mergeCell ref="F2:H2"/>
    <mergeCell ref="I2:J2"/>
    <mergeCell ref="C3:E3"/>
    <mergeCell ref="F3:H3"/>
    <mergeCell ref="I3:J3"/>
    <mergeCell ref="C4:E4"/>
    <mergeCell ref="F4:H4"/>
    <mergeCell ref="I4:J4"/>
    <mergeCell ref="C5:E5"/>
    <mergeCell ref="F5:H5"/>
    <mergeCell ref="I5:J5"/>
    <mergeCell ref="C6:E6"/>
    <mergeCell ref="F6:H6"/>
    <mergeCell ref="I6:J6"/>
    <mergeCell ref="C7:E7"/>
    <mergeCell ref="F7:H7"/>
    <mergeCell ref="I7:J7"/>
    <mergeCell ref="C8:E8"/>
    <mergeCell ref="F8:H8"/>
    <mergeCell ref="I8:J8"/>
    <mergeCell ref="C9:E9"/>
    <mergeCell ref="F9:H9"/>
    <mergeCell ref="I9:J9"/>
    <mergeCell ref="C10:E10"/>
    <mergeCell ref="F10:H10"/>
    <mergeCell ref="I10:J10"/>
    <mergeCell ref="C11:E11"/>
    <mergeCell ref="F11:H11"/>
    <mergeCell ref="I11:J11"/>
    <mergeCell ref="C12:E12"/>
    <mergeCell ref="F12:H12"/>
    <mergeCell ref="I12:J12"/>
    <mergeCell ref="C13:E13"/>
    <mergeCell ref="F13:H13"/>
    <mergeCell ref="I13:J13"/>
    <mergeCell ref="C14:E14"/>
    <mergeCell ref="F14:H14"/>
    <mergeCell ref="I14:J14"/>
    <mergeCell ref="A16:B28"/>
    <mergeCell ref="A30:B42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C35:E35"/>
    <mergeCell ref="F35:H35"/>
    <mergeCell ref="I35:J35"/>
    <mergeCell ref="C36:E36"/>
    <mergeCell ref="F36:H36"/>
    <mergeCell ref="I36:J36"/>
    <mergeCell ref="C37:E37"/>
    <mergeCell ref="F37:H37"/>
    <mergeCell ref="I37:J37"/>
    <mergeCell ref="C38:E38"/>
    <mergeCell ref="F38:H38"/>
    <mergeCell ref="I38:J38"/>
    <mergeCell ref="C39:E39"/>
    <mergeCell ref="F39:H39"/>
    <mergeCell ref="I39:J39"/>
    <mergeCell ref="C40:E40"/>
    <mergeCell ref="F40:H40"/>
    <mergeCell ref="I40:J40"/>
    <mergeCell ref="C41:E41"/>
    <mergeCell ref="F41:H41"/>
    <mergeCell ref="I41:J41"/>
    <mergeCell ref="C42:E42"/>
    <mergeCell ref="F42:H42"/>
    <mergeCell ref="I42:J42"/>
    <mergeCell ref="A44:B44"/>
    <mergeCell ref="C44:J44"/>
  </mergeCells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&amp;L&amp;"Aptos Narrow,Bold"PRODUCT ROADMAP&amp;COhioma Eboreime PhD. P.E.&amp;RV1.0</oddHeader>
    <oddFooter>&amp;L&amp;"Aptos Narrow,Bold"Date&amp;"Aptos Narrow,Regular": 07.09.2026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A18" activeCellId="0" sqref="A18"/>
    </sheetView>
  </sheetViews>
  <sheetFormatPr defaultColWidth="8.84375" defaultRowHeight="14.25" zeroHeight="false" outlineLevelRow="0" outlineLevelCol="0"/>
  <cols>
    <col collapsed="false" customWidth="false" hidden="false" outlineLevel="0" max="16384" min="1" style="1" width="8.84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19" t="s">
        <v>47</v>
      </c>
      <c r="B2" s="19"/>
      <c r="C2" s="6" t="s">
        <v>48</v>
      </c>
      <c r="D2" s="6"/>
      <c r="E2" s="6"/>
      <c r="F2" s="6"/>
      <c r="G2" s="6"/>
      <c r="H2" s="6"/>
      <c r="I2" s="6"/>
      <c r="J2" s="6"/>
    </row>
    <row r="3" customFormat="false" ht="14.25" hidden="false" customHeight="true" outlineLevel="0" collapsed="false">
      <c r="A3" s="19" t="s">
        <v>49</v>
      </c>
      <c r="B3" s="19"/>
      <c r="C3" s="6" t="s">
        <v>50</v>
      </c>
      <c r="D3" s="6"/>
      <c r="E3" s="6"/>
      <c r="F3" s="6"/>
      <c r="G3" s="6"/>
      <c r="H3" s="6"/>
      <c r="I3" s="6"/>
      <c r="J3" s="6"/>
    </row>
    <row r="4" customFormat="false" ht="14.25" hidden="false" customHeight="true" outlineLevel="0" collapsed="false">
      <c r="A4" s="19" t="s">
        <v>51</v>
      </c>
      <c r="B4" s="19"/>
      <c r="C4" s="6" t="s">
        <v>52</v>
      </c>
      <c r="D4" s="6"/>
      <c r="E4" s="6"/>
      <c r="F4" s="6"/>
      <c r="G4" s="6"/>
      <c r="H4" s="6"/>
      <c r="I4" s="6"/>
      <c r="J4" s="6"/>
    </row>
    <row r="5" customFormat="false" ht="14.25" hidden="false" customHeight="true" outlineLevel="0" collapsed="false"/>
    <row r="6" customFormat="false" ht="14.25" hidden="false" customHeight="true" outlineLevel="0" collapsed="false">
      <c r="A6" s="20" t="n">
        <v>1</v>
      </c>
      <c r="B6" s="21" t="s">
        <v>53</v>
      </c>
      <c r="C6" s="22"/>
      <c r="D6" s="22"/>
      <c r="E6" s="22"/>
      <c r="F6" s="22"/>
      <c r="G6" s="22"/>
      <c r="H6" s="22"/>
      <c r="I6" s="22"/>
      <c r="J6" s="23"/>
    </row>
    <row r="7" customFormat="false" ht="14.25" hidden="false" customHeight="true" outlineLevel="0" collapsed="false">
      <c r="A7" s="24" t="s">
        <v>54</v>
      </c>
      <c r="B7" s="24"/>
      <c r="C7" s="25" t="s">
        <v>55</v>
      </c>
      <c r="D7" s="25"/>
      <c r="E7" s="25" t="s">
        <v>56</v>
      </c>
      <c r="F7" s="25"/>
      <c r="G7" s="25" t="s">
        <v>57</v>
      </c>
      <c r="H7" s="25"/>
      <c r="I7" s="26" t="s">
        <v>58</v>
      </c>
      <c r="J7" s="27" t="s">
        <v>59</v>
      </c>
    </row>
    <row r="8" customFormat="false" ht="28.35" hidden="false" customHeight="true" outlineLevel="0" collapsed="false">
      <c r="A8" s="28" t="s">
        <v>60</v>
      </c>
      <c r="B8" s="28"/>
      <c r="C8" s="29" t="s">
        <v>61</v>
      </c>
      <c r="D8" s="29"/>
      <c r="E8" s="29" t="s">
        <v>62</v>
      </c>
      <c r="F8" s="29"/>
      <c r="G8" s="29" t="s">
        <v>63</v>
      </c>
      <c r="H8" s="29"/>
      <c r="I8" s="30" t="s">
        <v>64</v>
      </c>
      <c r="J8" s="31" t="s">
        <v>65</v>
      </c>
    </row>
    <row r="9" customFormat="false" ht="28.35" hidden="false" customHeight="true" outlineLevel="0" collapsed="false">
      <c r="A9" s="32" t="s">
        <v>66</v>
      </c>
      <c r="B9" s="32"/>
      <c r="C9" s="33" t="s">
        <v>61</v>
      </c>
      <c r="D9" s="33"/>
      <c r="E9" s="33" t="s">
        <v>67</v>
      </c>
      <c r="F9" s="33"/>
      <c r="G9" s="33" t="s">
        <v>68</v>
      </c>
      <c r="H9" s="33"/>
      <c r="I9" s="34" t="s">
        <v>69</v>
      </c>
      <c r="J9" s="35" t="s">
        <v>65</v>
      </c>
    </row>
    <row r="10" customFormat="false" ht="28.35" hidden="false" customHeight="true" outlineLevel="0" collapsed="false">
      <c r="A10" s="32" t="s">
        <v>70</v>
      </c>
      <c r="B10" s="32"/>
      <c r="C10" s="33" t="s">
        <v>71</v>
      </c>
      <c r="D10" s="33"/>
      <c r="E10" s="33" t="s">
        <v>72</v>
      </c>
      <c r="F10" s="33"/>
      <c r="G10" s="33" t="s">
        <v>73</v>
      </c>
      <c r="H10" s="33"/>
      <c r="I10" s="34" t="s">
        <v>74</v>
      </c>
      <c r="J10" s="35" t="s">
        <v>75</v>
      </c>
    </row>
    <row r="11" customFormat="false" ht="28.35" hidden="false" customHeight="true" outlineLevel="0" collapsed="false">
      <c r="A11" s="32" t="s">
        <v>76</v>
      </c>
      <c r="B11" s="32"/>
      <c r="C11" s="33" t="s">
        <v>77</v>
      </c>
      <c r="D11" s="33"/>
      <c r="E11" s="33" t="s">
        <v>78</v>
      </c>
      <c r="F11" s="33"/>
      <c r="G11" s="33" t="s">
        <v>79</v>
      </c>
      <c r="H11" s="33"/>
      <c r="I11" s="34" t="s">
        <v>80</v>
      </c>
      <c r="J11" s="36" t="s">
        <v>65</v>
      </c>
    </row>
    <row r="12" customFormat="false" ht="28.35" hidden="false" customHeight="true" outlineLevel="0" collapsed="false">
      <c r="A12" s="32" t="s">
        <v>81</v>
      </c>
      <c r="B12" s="32"/>
      <c r="C12" s="33" t="s">
        <v>61</v>
      </c>
      <c r="D12" s="33"/>
      <c r="E12" s="33" t="s">
        <v>82</v>
      </c>
      <c r="F12" s="33"/>
      <c r="G12" s="33" t="s">
        <v>83</v>
      </c>
      <c r="H12" s="33"/>
      <c r="I12" s="34" t="s">
        <v>84</v>
      </c>
      <c r="J12" s="36" t="s">
        <v>85</v>
      </c>
    </row>
    <row r="13" customFormat="false" ht="14.25" hidden="false" customHeight="true" outlineLevel="0" collapsed="false">
      <c r="A13" s="37"/>
      <c r="B13" s="37"/>
      <c r="C13" s="38"/>
      <c r="D13" s="38"/>
      <c r="E13" s="38"/>
      <c r="F13" s="38"/>
      <c r="G13" s="38"/>
      <c r="H13" s="38"/>
      <c r="I13" s="38"/>
      <c r="J13" s="39"/>
    </row>
    <row r="15" customFormat="false" ht="14.25" hidden="false" customHeight="true" outlineLevel="0" collapsed="false"/>
    <row r="16" customFormat="false" ht="14.25" hidden="false" customHeight="true" outlineLevel="0" collapsed="false">
      <c r="A16" s="20" t="n">
        <v>2</v>
      </c>
      <c r="B16" s="21" t="s">
        <v>86</v>
      </c>
      <c r="C16" s="22"/>
      <c r="D16" s="22"/>
      <c r="E16" s="22"/>
      <c r="F16" s="22"/>
      <c r="G16" s="22"/>
      <c r="H16" s="22"/>
      <c r="I16" s="22"/>
      <c r="J16" s="23"/>
    </row>
    <row r="17" customFormat="false" ht="14.25" hidden="false" customHeight="true" outlineLevel="0" collapsed="false">
      <c r="A17" s="24" t="s">
        <v>54</v>
      </c>
      <c r="B17" s="24"/>
      <c r="C17" s="25" t="s">
        <v>55</v>
      </c>
      <c r="D17" s="25"/>
      <c r="E17" s="25" t="s">
        <v>56</v>
      </c>
      <c r="F17" s="25"/>
      <c r="G17" s="25" t="s">
        <v>57</v>
      </c>
      <c r="H17" s="25"/>
      <c r="I17" s="26" t="s">
        <v>58</v>
      </c>
      <c r="J17" s="27" t="s">
        <v>59</v>
      </c>
    </row>
    <row r="18" customFormat="false" ht="28.35" hidden="false" customHeight="true" outlineLevel="0" collapsed="false">
      <c r="A18" s="28" t="s">
        <v>87</v>
      </c>
      <c r="B18" s="28"/>
      <c r="C18" s="29" t="s">
        <v>88</v>
      </c>
      <c r="D18" s="29"/>
      <c r="E18" s="29" t="s">
        <v>89</v>
      </c>
      <c r="F18" s="29"/>
      <c r="G18" s="29" t="s">
        <v>90</v>
      </c>
      <c r="H18" s="29"/>
      <c r="I18" s="30" t="s">
        <v>91</v>
      </c>
      <c r="J18" s="31" t="s">
        <v>85</v>
      </c>
    </row>
    <row r="19" customFormat="false" ht="28.35" hidden="false" customHeight="true" outlineLevel="0" collapsed="false">
      <c r="A19" s="32" t="s">
        <v>92</v>
      </c>
      <c r="B19" s="32"/>
      <c r="C19" s="33" t="s">
        <v>93</v>
      </c>
      <c r="D19" s="33"/>
      <c r="E19" s="33" t="s">
        <v>94</v>
      </c>
      <c r="F19" s="33"/>
      <c r="G19" s="33" t="s">
        <v>95</v>
      </c>
      <c r="H19" s="33"/>
      <c r="I19" s="34" t="s">
        <v>96</v>
      </c>
      <c r="J19" s="35" t="s">
        <v>65</v>
      </c>
    </row>
    <row r="20" customFormat="false" ht="28.35" hidden="false" customHeight="true" outlineLevel="0" collapsed="false">
      <c r="A20" s="32" t="s">
        <v>97</v>
      </c>
      <c r="B20" s="32"/>
      <c r="C20" s="33" t="s">
        <v>98</v>
      </c>
      <c r="D20" s="33"/>
      <c r="E20" s="33" t="s">
        <v>99</v>
      </c>
      <c r="F20" s="33"/>
      <c r="G20" s="33" t="s">
        <v>100</v>
      </c>
      <c r="H20" s="33"/>
      <c r="I20" s="34" t="s">
        <v>101</v>
      </c>
      <c r="J20" s="36" t="s">
        <v>85</v>
      </c>
    </row>
    <row r="21" customFormat="false" ht="28.35" hidden="false" customHeight="true" outlineLevel="0" collapsed="false">
      <c r="A21" s="32" t="s">
        <v>102</v>
      </c>
      <c r="B21" s="32"/>
      <c r="C21" s="33" t="s">
        <v>103</v>
      </c>
      <c r="D21" s="33"/>
      <c r="E21" s="33" t="s">
        <v>104</v>
      </c>
      <c r="F21" s="33"/>
      <c r="G21" s="33" t="s">
        <v>105</v>
      </c>
      <c r="H21" s="33"/>
      <c r="I21" s="34" t="s">
        <v>69</v>
      </c>
      <c r="J21" s="35" t="s">
        <v>65</v>
      </c>
    </row>
    <row r="22" customFormat="false" ht="14.25" hidden="false" customHeight="false" outlineLevel="0" collapsed="false">
      <c r="A22" s="40"/>
      <c r="B22" s="40"/>
      <c r="C22" s="41"/>
      <c r="D22" s="41"/>
      <c r="E22" s="41"/>
      <c r="F22" s="41"/>
      <c r="G22" s="41"/>
      <c r="H22" s="41"/>
      <c r="I22" s="41"/>
      <c r="J22" s="42"/>
    </row>
    <row r="23" customFormat="false" ht="14.25" hidden="false" customHeight="true" outlineLevel="0" collapsed="false">
      <c r="A23" s="37"/>
      <c r="B23" s="37"/>
      <c r="C23" s="38"/>
      <c r="D23" s="38"/>
      <c r="E23" s="38"/>
      <c r="F23" s="38"/>
      <c r="G23" s="38"/>
      <c r="H23" s="38"/>
      <c r="I23" s="38"/>
      <c r="J23" s="39"/>
    </row>
    <row r="25" customFormat="false" ht="14.25" hidden="false" customHeight="true" outlineLevel="0" collapsed="false"/>
    <row r="26" customFormat="false" ht="14.25" hidden="false" customHeight="true" outlineLevel="0" collapsed="false">
      <c r="A26" s="20" t="n">
        <v>3</v>
      </c>
      <c r="B26" s="21" t="s">
        <v>106</v>
      </c>
      <c r="C26" s="22"/>
      <c r="D26" s="22"/>
      <c r="E26" s="22"/>
      <c r="F26" s="22"/>
      <c r="G26" s="22"/>
      <c r="H26" s="22"/>
      <c r="I26" s="22"/>
      <c r="J26" s="23"/>
    </row>
    <row r="27" customFormat="false" ht="14.25" hidden="false" customHeight="true" outlineLevel="0" collapsed="false">
      <c r="A27" s="24" t="s">
        <v>54</v>
      </c>
      <c r="B27" s="24"/>
      <c r="C27" s="25" t="s">
        <v>55</v>
      </c>
      <c r="D27" s="25"/>
      <c r="E27" s="25" t="s">
        <v>56</v>
      </c>
      <c r="F27" s="25"/>
      <c r="G27" s="25" t="s">
        <v>57</v>
      </c>
      <c r="H27" s="25"/>
      <c r="I27" s="26" t="s">
        <v>58</v>
      </c>
      <c r="J27" s="27" t="s">
        <v>59</v>
      </c>
    </row>
    <row r="28" customFormat="false" ht="28.35" hidden="false" customHeight="true" outlineLevel="0" collapsed="false">
      <c r="A28" s="28" t="s">
        <v>107</v>
      </c>
      <c r="B28" s="28"/>
      <c r="C28" s="29" t="s">
        <v>108</v>
      </c>
      <c r="D28" s="29"/>
      <c r="E28" s="29" t="s">
        <v>109</v>
      </c>
      <c r="F28" s="29"/>
      <c r="G28" s="29" t="s">
        <v>110</v>
      </c>
      <c r="H28" s="29"/>
      <c r="I28" s="30" t="s">
        <v>111</v>
      </c>
      <c r="J28" s="43" t="s">
        <v>85</v>
      </c>
    </row>
    <row r="29" customFormat="false" ht="28.35" hidden="false" customHeight="true" outlineLevel="0" collapsed="false">
      <c r="A29" s="32" t="s">
        <v>112</v>
      </c>
      <c r="B29" s="32"/>
      <c r="C29" s="33" t="s">
        <v>113</v>
      </c>
      <c r="D29" s="33"/>
      <c r="E29" s="33" t="s">
        <v>114</v>
      </c>
      <c r="F29" s="33"/>
      <c r="G29" s="33" t="s">
        <v>115</v>
      </c>
      <c r="H29" s="33"/>
      <c r="I29" s="34" t="s">
        <v>91</v>
      </c>
      <c r="J29" s="36" t="s">
        <v>65</v>
      </c>
    </row>
    <row r="30" customFormat="false" ht="28.35" hidden="false" customHeight="true" outlineLevel="0" collapsed="false">
      <c r="A30" s="32" t="s">
        <v>116</v>
      </c>
      <c r="B30" s="32"/>
      <c r="C30" s="33" t="s">
        <v>77</v>
      </c>
      <c r="D30" s="33"/>
      <c r="E30" s="33" t="s">
        <v>117</v>
      </c>
      <c r="F30" s="33"/>
      <c r="G30" s="33" t="s">
        <v>79</v>
      </c>
      <c r="H30" s="33"/>
      <c r="I30" s="34" t="s">
        <v>84</v>
      </c>
      <c r="J30" s="36" t="s">
        <v>65</v>
      </c>
    </row>
    <row r="31" customFormat="false" ht="28.35" hidden="false" customHeight="true" outlineLevel="0" collapsed="false">
      <c r="A31" s="32" t="s">
        <v>118</v>
      </c>
      <c r="B31" s="32"/>
      <c r="C31" s="33" t="s">
        <v>77</v>
      </c>
      <c r="D31" s="33"/>
      <c r="E31" s="33" t="s">
        <v>119</v>
      </c>
      <c r="F31" s="33"/>
      <c r="G31" s="33" t="s">
        <v>120</v>
      </c>
      <c r="H31" s="33"/>
      <c r="I31" s="34" t="s">
        <v>64</v>
      </c>
      <c r="J31" s="36" t="s">
        <v>65</v>
      </c>
    </row>
    <row r="32" customFormat="false" ht="14.25" hidden="false" customHeight="false" outlineLevel="0" collapsed="false">
      <c r="A32" s="40"/>
      <c r="B32" s="40"/>
      <c r="C32" s="41"/>
      <c r="D32" s="41"/>
      <c r="E32" s="41"/>
      <c r="F32" s="41"/>
      <c r="G32" s="41"/>
      <c r="H32" s="41"/>
      <c r="I32" s="41"/>
      <c r="J32" s="42"/>
    </row>
    <row r="33" customFormat="false" ht="14.25" hidden="false" customHeight="true" outlineLevel="0" collapsed="false">
      <c r="A33" s="37"/>
      <c r="B33" s="37"/>
      <c r="C33" s="38"/>
      <c r="D33" s="38"/>
      <c r="E33" s="38"/>
      <c r="F33" s="38"/>
      <c r="G33" s="38"/>
      <c r="H33" s="38"/>
      <c r="I33" s="38"/>
      <c r="J33" s="39"/>
    </row>
    <row r="35" customFormat="false" ht="14.25" hidden="false" customHeight="true" outlineLevel="0" collapsed="false"/>
    <row r="36" customFormat="false" ht="14.25" hidden="false" customHeight="true" outlineLevel="0" collapsed="false">
      <c r="A36" s="20" t="n">
        <v>4</v>
      </c>
      <c r="B36" s="21" t="s">
        <v>121</v>
      </c>
      <c r="C36" s="22"/>
      <c r="D36" s="22"/>
      <c r="E36" s="22"/>
      <c r="F36" s="22"/>
      <c r="G36" s="22"/>
      <c r="H36" s="22"/>
      <c r="I36" s="22"/>
      <c r="J36" s="23"/>
    </row>
    <row r="37" customFormat="false" ht="14.25" hidden="false" customHeight="true" outlineLevel="0" collapsed="false">
      <c r="A37" s="24" t="s">
        <v>54</v>
      </c>
      <c r="B37" s="24"/>
      <c r="C37" s="25" t="s">
        <v>55</v>
      </c>
      <c r="D37" s="25"/>
      <c r="E37" s="25" t="s">
        <v>56</v>
      </c>
      <c r="F37" s="25"/>
      <c r="G37" s="25" t="s">
        <v>57</v>
      </c>
      <c r="H37" s="25"/>
      <c r="I37" s="26" t="s">
        <v>58</v>
      </c>
      <c r="J37" s="27" t="s">
        <v>59</v>
      </c>
    </row>
    <row r="38" customFormat="false" ht="28.35" hidden="false" customHeight="true" outlineLevel="0" collapsed="false">
      <c r="A38" s="28" t="s">
        <v>122</v>
      </c>
      <c r="B38" s="28"/>
      <c r="C38" s="29" t="s">
        <v>77</v>
      </c>
      <c r="D38" s="29"/>
      <c r="E38" s="29" t="s">
        <v>123</v>
      </c>
      <c r="F38" s="29"/>
      <c r="G38" s="29" t="s">
        <v>105</v>
      </c>
      <c r="H38" s="29"/>
      <c r="I38" s="30" t="s">
        <v>101</v>
      </c>
      <c r="J38" s="31" t="s">
        <v>85</v>
      </c>
    </row>
    <row r="39" customFormat="false" ht="28.35" hidden="false" customHeight="true" outlineLevel="0" collapsed="false">
      <c r="A39" s="32" t="s">
        <v>124</v>
      </c>
      <c r="B39" s="32"/>
      <c r="C39" s="33" t="s">
        <v>77</v>
      </c>
      <c r="D39" s="33"/>
      <c r="E39" s="33" t="s">
        <v>125</v>
      </c>
      <c r="F39" s="33"/>
      <c r="G39" s="33" t="s">
        <v>126</v>
      </c>
      <c r="H39" s="33"/>
      <c r="I39" s="34" t="s">
        <v>127</v>
      </c>
      <c r="J39" s="44" t="s">
        <v>85</v>
      </c>
    </row>
    <row r="40" customFormat="false" ht="28.35" hidden="false" customHeight="true" outlineLevel="0" collapsed="false">
      <c r="A40" s="32" t="s">
        <v>39</v>
      </c>
      <c r="B40" s="32"/>
      <c r="C40" s="33" t="s">
        <v>77</v>
      </c>
      <c r="D40" s="33"/>
      <c r="E40" s="33" t="s">
        <v>128</v>
      </c>
      <c r="F40" s="33"/>
      <c r="G40" s="33" t="s">
        <v>129</v>
      </c>
      <c r="H40" s="33"/>
      <c r="I40" s="34" t="s">
        <v>111</v>
      </c>
      <c r="J40" s="36" t="s">
        <v>85</v>
      </c>
    </row>
    <row r="41" customFormat="false" ht="28.35" hidden="false" customHeight="true" outlineLevel="0" collapsed="false">
      <c r="A41" s="32" t="s">
        <v>130</v>
      </c>
      <c r="B41" s="32"/>
      <c r="C41" s="33" t="s">
        <v>71</v>
      </c>
      <c r="D41" s="33"/>
      <c r="E41" s="33" t="s">
        <v>131</v>
      </c>
      <c r="F41" s="33"/>
      <c r="G41" s="33" t="s">
        <v>110</v>
      </c>
      <c r="H41" s="33"/>
      <c r="I41" s="34" t="s">
        <v>132</v>
      </c>
      <c r="J41" s="44" t="s">
        <v>85</v>
      </c>
    </row>
    <row r="42" customFormat="false" ht="14.25" hidden="false" customHeight="false" outlineLevel="0" collapsed="false">
      <c r="A42" s="40"/>
      <c r="B42" s="40"/>
      <c r="C42" s="41"/>
      <c r="D42" s="41"/>
      <c r="E42" s="41"/>
      <c r="F42" s="41"/>
      <c r="G42" s="41"/>
      <c r="H42" s="41"/>
      <c r="I42" s="41"/>
      <c r="J42" s="42"/>
    </row>
    <row r="43" customFormat="false" ht="14.25" hidden="false" customHeight="true" outlineLevel="0" collapsed="false">
      <c r="A43" s="37"/>
      <c r="B43" s="37"/>
      <c r="C43" s="38"/>
      <c r="D43" s="38"/>
      <c r="E43" s="38"/>
      <c r="F43" s="38"/>
      <c r="G43" s="38"/>
      <c r="H43" s="38"/>
      <c r="I43" s="38"/>
      <c r="J43" s="39"/>
    </row>
  </sheetData>
  <mergeCells count="118">
    <mergeCell ref="A2:B2"/>
    <mergeCell ref="C2:J2"/>
    <mergeCell ref="A3:B3"/>
    <mergeCell ref="C3:J3"/>
    <mergeCell ref="A4:B4"/>
    <mergeCell ref="C4:J4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7:B17"/>
    <mergeCell ref="C17:D17"/>
    <mergeCell ref="E17:F17"/>
    <mergeCell ref="G17:H17"/>
    <mergeCell ref="A18:B18"/>
    <mergeCell ref="C18:D18"/>
    <mergeCell ref="E18:F18"/>
    <mergeCell ref="G18:H18"/>
    <mergeCell ref="A19:B19"/>
    <mergeCell ref="C19:D19"/>
    <mergeCell ref="E19:F19"/>
    <mergeCell ref="G19:H19"/>
    <mergeCell ref="A20:B20"/>
    <mergeCell ref="C20:D20"/>
    <mergeCell ref="E20:F20"/>
    <mergeCell ref="G20:H20"/>
    <mergeCell ref="A21:B21"/>
    <mergeCell ref="C21:D21"/>
    <mergeCell ref="E21:F21"/>
    <mergeCell ref="G21:H21"/>
    <mergeCell ref="A22:B22"/>
    <mergeCell ref="C22:D22"/>
    <mergeCell ref="E22:F22"/>
    <mergeCell ref="G22:H22"/>
    <mergeCell ref="A23:B23"/>
    <mergeCell ref="C23:D23"/>
    <mergeCell ref="E23:F23"/>
    <mergeCell ref="G23:H23"/>
    <mergeCell ref="A27:B27"/>
    <mergeCell ref="C27:D27"/>
    <mergeCell ref="E27:F27"/>
    <mergeCell ref="G27:H27"/>
    <mergeCell ref="A28:B28"/>
    <mergeCell ref="C28:D28"/>
    <mergeCell ref="E28:F28"/>
    <mergeCell ref="G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7:B37"/>
    <mergeCell ref="C37:D37"/>
    <mergeCell ref="E37:F37"/>
    <mergeCell ref="G37:H37"/>
    <mergeCell ref="A38:B38"/>
    <mergeCell ref="C38:D38"/>
    <mergeCell ref="E38:F38"/>
    <mergeCell ref="G38:H38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</mergeCells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&amp;L&amp;"Aptos Narrow,Bold"OBJECTIVES KEY RESULTS&amp;COhioma Eboreime PhD. P.E.&amp;RV1.0</oddHeader>
    <oddFooter>&amp;L&amp;"Aptos Narrow,Bold"Date&amp;"Aptos Narrow,Regular": 07.09.2026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4" colorId="64" zoomScale="70" zoomScaleNormal="70" zoomScalePageLayoutView="100" workbookViewId="0">
      <selection pane="topLeft" activeCell="G43" activeCellId="0" sqref="G43"/>
    </sheetView>
  </sheetViews>
  <sheetFormatPr defaultColWidth="8.84375" defaultRowHeight="14.25" zeroHeight="false" outlineLevelRow="0" outlineLevelCol="0"/>
  <cols>
    <col collapsed="false" customWidth="false" hidden="false" outlineLevel="0" max="16384" min="1" style="1" width="8.84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45" t="s">
        <v>133</v>
      </c>
      <c r="B2" s="46" t="s">
        <v>134</v>
      </c>
      <c r="C2" s="46"/>
      <c r="D2" s="46"/>
      <c r="F2" s="47" t="s">
        <v>135</v>
      </c>
      <c r="G2" s="47"/>
      <c r="H2" s="6" t="s">
        <v>136</v>
      </c>
      <c r="I2" s="6"/>
      <c r="J2" s="6"/>
    </row>
    <row r="3" customFormat="false" ht="14.25" hidden="false" customHeight="true" outlineLevel="0" collapsed="false">
      <c r="A3" s="45" t="s">
        <v>137</v>
      </c>
      <c r="B3" s="6" t="s">
        <v>52</v>
      </c>
      <c r="C3" s="6"/>
      <c r="D3" s="6"/>
    </row>
    <row r="4" customFormat="false" ht="14.25" hidden="false" customHeight="true" outlineLevel="0" collapsed="false"/>
    <row r="5" customFormat="false" ht="14.25" hidden="false" customHeight="true" outlineLevel="0" collapsed="false">
      <c r="A5" s="48" t="s">
        <v>138</v>
      </c>
      <c r="B5" s="25" t="s">
        <v>139</v>
      </c>
      <c r="C5" s="25"/>
      <c r="D5" s="25"/>
      <c r="E5" s="26" t="s">
        <v>140</v>
      </c>
      <c r="F5" s="26" t="s">
        <v>141</v>
      </c>
      <c r="G5" s="26" t="s">
        <v>142</v>
      </c>
      <c r="H5" s="26" t="s">
        <v>143</v>
      </c>
      <c r="I5" s="25" t="s">
        <v>144</v>
      </c>
      <c r="J5" s="25"/>
    </row>
    <row r="6" customFormat="false" ht="14.25" hidden="false" customHeight="true" outlineLevel="0" collapsed="false">
      <c r="A6" s="49" t="s">
        <v>145</v>
      </c>
      <c r="B6" s="50" t="s">
        <v>146</v>
      </c>
      <c r="C6" s="50"/>
      <c r="D6" s="50"/>
      <c r="E6" s="30" t="s">
        <v>147</v>
      </c>
      <c r="F6" s="30" t="s">
        <v>148</v>
      </c>
      <c r="G6" s="30" t="s">
        <v>136</v>
      </c>
      <c r="H6" s="30" t="s">
        <v>74</v>
      </c>
      <c r="I6" s="51" t="s">
        <v>149</v>
      </c>
      <c r="J6" s="51"/>
    </row>
    <row r="7" customFormat="false" ht="28.35" hidden="false" customHeight="true" outlineLevel="0" collapsed="false">
      <c r="A7" s="34" t="s">
        <v>150</v>
      </c>
      <c r="B7" s="52" t="s">
        <v>151</v>
      </c>
      <c r="C7" s="52"/>
      <c r="D7" s="52"/>
      <c r="E7" s="34" t="s">
        <v>152</v>
      </c>
      <c r="F7" s="34" t="s">
        <v>148</v>
      </c>
      <c r="G7" s="34" t="s">
        <v>136</v>
      </c>
      <c r="H7" s="34" t="s">
        <v>153</v>
      </c>
      <c r="I7" s="53" t="s">
        <v>154</v>
      </c>
      <c r="J7" s="53"/>
    </row>
    <row r="8" customFormat="false" ht="28.35" hidden="false" customHeight="true" outlineLevel="0" collapsed="false">
      <c r="A8" s="34" t="s">
        <v>155</v>
      </c>
      <c r="B8" s="52" t="s">
        <v>156</v>
      </c>
      <c r="C8" s="52"/>
      <c r="D8" s="52"/>
      <c r="E8" s="34" t="s">
        <v>157</v>
      </c>
      <c r="F8" s="34" t="s">
        <v>148</v>
      </c>
      <c r="G8" s="34" t="s">
        <v>158</v>
      </c>
      <c r="H8" s="34" t="s">
        <v>153</v>
      </c>
      <c r="I8" s="53" t="s">
        <v>154</v>
      </c>
      <c r="J8" s="53"/>
    </row>
    <row r="9" customFormat="false" ht="28.35" hidden="false" customHeight="true" outlineLevel="0" collapsed="false">
      <c r="A9" s="34" t="s">
        <v>159</v>
      </c>
      <c r="B9" s="52" t="s">
        <v>160</v>
      </c>
      <c r="C9" s="52"/>
      <c r="D9" s="52"/>
      <c r="E9" s="34" t="s">
        <v>52</v>
      </c>
      <c r="F9" s="34" t="s">
        <v>158</v>
      </c>
      <c r="G9" s="34" t="s">
        <v>158</v>
      </c>
      <c r="H9" s="34" t="s">
        <v>153</v>
      </c>
      <c r="I9" s="53" t="s">
        <v>154</v>
      </c>
      <c r="J9" s="53"/>
    </row>
    <row r="10" customFormat="false" ht="28.35" hidden="false" customHeight="true" outlineLevel="0" collapsed="false">
      <c r="A10" s="34" t="s">
        <v>161</v>
      </c>
      <c r="B10" s="52" t="s">
        <v>162</v>
      </c>
      <c r="C10" s="52"/>
      <c r="D10" s="52"/>
      <c r="E10" s="34" t="s">
        <v>152</v>
      </c>
      <c r="F10" s="34" t="s">
        <v>158</v>
      </c>
      <c r="G10" s="34" t="s">
        <v>158</v>
      </c>
      <c r="H10" s="34" t="s">
        <v>153</v>
      </c>
      <c r="I10" s="53" t="s">
        <v>154</v>
      </c>
      <c r="J10" s="53"/>
    </row>
    <row r="11" customFormat="false" ht="28.35" hidden="false" customHeight="true" outlineLevel="0" collapsed="false">
      <c r="A11" s="34" t="s">
        <v>163</v>
      </c>
      <c r="B11" s="52" t="s">
        <v>20</v>
      </c>
      <c r="C11" s="52"/>
      <c r="D11" s="52"/>
      <c r="E11" s="34" t="s">
        <v>152</v>
      </c>
      <c r="F11" s="34" t="s">
        <v>164</v>
      </c>
      <c r="G11" s="34" t="s">
        <v>93</v>
      </c>
      <c r="H11" s="34" t="s">
        <v>98</v>
      </c>
      <c r="I11" s="54" t="s">
        <v>165</v>
      </c>
      <c r="J11" s="54"/>
    </row>
    <row r="12" customFormat="false" ht="14.25" hidden="false" customHeight="false" outlineLevel="0" collapsed="false">
      <c r="A12" s="55"/>
      <c r="B12" s="56"/>
      <c r="C12" s="56"/>
      <c r="D12" s="56"/>
      <c r="E12" s="55"/>
      <c r="F12" s="55"/>
      <c r="G12" s="55"/>
      <c r="H12" s="55"/>
      <c r="I12" s="41"/>
      <c r="J12" s="41"/>
    </row>
    <row r="13" customFormat="false" ht="28.35" hidden="false" customHeight="true" outlineLevel="0" collapsed="false">
      <c r="A13" s="57" t="s">
        <v>166</v>
      </c>
      <c r="B13" s="58" t="s">
        <v>167</v>
      </c>
      <c r="C13" s="58"/>
      <c r="D13" s="58"/>
      <c r="E13" s="34" t="s">
        <v>147</v>
      </c>
      <c r="F13" s="34" t="s">
        <v>164</v>
      </c>
      <c r="G13" s="34" t="s">
        <v>168</v>
      </c>
      <c r="H13" s="34" t="s">
        <v>169</v>
      </c>
      <c r="I13" s="59" t="s">
        <v>149</v>
      </c>
      <c r="J13" s="59"/>
    </row>
    <row r="14" customFormat="false" ht="14.25" hidden="false" customHeight="true" outlineLevel="0" collapsed="false">
      <c r="A14" s="34" t="s">
        <v>170</v>
      </c>
      <c r="B14" s="52" t="s">
        <v>171</v>
      </c>
      <c r="C14" s="52"/>
      <c r="D14" s="52"/>
      <c r="E14" s="34" t="s">
        <v>152</v>
      </c>
      <c r="F14" s="34" t="s">
        <v>164</v>
      </c>
      <c r="G14" s="34" t="s">
        <v>93</v>
      </c>
      <c r="H14" s="34" t="s">
        <v>98</v>
      </c>
      <c r="I14" s="59" t="s">
        <v>172</v>
      </c>
      <c r="J14" s="59"/>
    </row>
    <row r="15" customFormat="false" ht="14.25" hidden="false" customHeight="true" outlineLevel="0" collapsed="false">
      <c r="A15" s="34" t="s">
        <v>173</v>
      </c>
      <c r="B15" s="52" t="s">
        <v>174</v>
      </c>
      <c r="C15" s="52"/>
      <c r="D15" s="52"/>
      <c r="E15" s="34" t="s">
        <v>152</v>
      </c>
      <c r="F15" s="34" t="s">
        <v>93</v>
      </c>
      <c r="G15" s="34" t="s">
        <v>93</v>
      </c>
      <c r="H15" s="34" t="s">
        <v>98</v>
      </c>
      <c r="I15" s="59" t="s">
        <v>172</v>
      </c>
      <c r="J15" s="59"/>
    </row>
    <row r="16" customFormat="false" ht="28.35" hidden="false" customHeight="true" outlineLevel="0" collapsed="false">
      <c r="A16" s="34" t="s">
        <v>175</v>
      </c>
      <c r="B16" s="52" t="s">
        <v>176</v>
      </c>
      <c r="C16" s="52"/>
      <c r="D16" s="52"/>
      <c r="E16" s="34" t="s">
        <v>152</v>
      </c>
      <c r="F16" s="34" t="s">
        <v>93</v>
      </c>
      <c r="G16" s="34" t="s">
        <v>93</v>
      </c>
      <c r="H16" s="34" t="s">
        <v>98</v>
      </c>
      <c r="I16" s="59" t="s">
        <v>172</v>
      </c>
      <c r="J16" s="59"/>
    </row>
    <row r="17" customFormat="false" ht="28.35" hidden="false" customHeight="true" outlineLevel="0" collapsed="false">
      <c r="A17" s="34" t="s">
        <v>177</v>
      </c>
      <c r="B17" s="52" t="s">
        <v>178</v>
      </c>
      <c r="C17" s="52"/>
      <c r="D17" s="52"/>
      <c r="E17" s="34" t="s">
        <v>152</v>
      </c>
      <c r="F17" s="34" t="s">
        <v>93</v>
      </c>
      <c r="G17" s="34" t="s">
        <v>93</v>
      </c>
      <c r="H17" s="34" t="s">
        <v>111</v>
      </c>
      <c r="I17" s="59" t="s">
        <v>149</v>
      </c>
      <c r="J17" s="59"/>
    </row>
    <row r="18" customFormat="false" ht="28.35" hidden="false" customHeight="true" outlineLevel="0" collapsed="false">
      <c r="A18" s="34" t="s">
        <v>179</v>
      </c>
      <c r="B18" s="52" t="s">
        <v>180</v>
      </c>
      <c r="C18" s="52"/>
      <c r="D18" s="52"/>
      <c r="E18" s="34" t="s">
        <v>152</v>
      </c>
      <c r="F18" s="34" t="s">
        <v>93</v>
      </c>
      <c r="G18" s="34" t="s">
        <v>93</v>
      </c>
      <c r="H18" s="34" t="s">
        <v>98</v>
      </c>
      <c r="I18" s="59" t="s">
        <v>172</v>
      </c>
      <c r="J18" s="59"/>
    </row>
    <row r="19" customFormat="false" ht="14.25" hidden="false" customHeight="false" outlineLevel="0" collapsed="false">
      <c r="A19" s="55"/>
      <c r="B19" s="56"/>
      <c r="C19" s="56"/>
      <c r="D19" s="56"/>
      <c r="E19" s="55"/>
      <c r="F19" s="55"/>
      <c r="G19" s="55"/>
      <c r="H19" s="55"/>
      <c r="I19" s="41"/>
      <c r="J19" s="41"/>
    </row>
    <row r="20" customFormat="false" ht="28.35" hidden="false" customHeight="true" outlineLevel="0" collapsed="false">
      <c r="A20" s="57" t="s">
        <v>181</v>
      </c>
      <c r="B20" s="58" t="s">
        <v>182</v>
      </c>
      <c r="C20" s="58"/>
      <c r="D20" s="58"/>
      <c r="E20" s="34" t="s">
        <v>147</v>
      </c>
      <c r="F20" s="34" t="s">
        <v>168</v>
      </c>
      <c r="G20" s="34" t="s">
        <v>168</v>
      </c>
      <c r="H20" s="34" t="s">
        <v>183</v>
      </c>
      <c r="I20" s="59" t="s">
        <v>172</v>
      </c>
      <c r="J20" s="59"/>
    </row>
    <row r="21" customFormat="false" ht="28.35" hidden="false" customHeight="true" outlineLevel="0" collapsed="false">
      <c r="A21" s="34" t="s">
        <v>184</v>
      </c>
      <c r="B21" s="52" t="s">
        <v>185</v>
      </c>
      <c r="C21" s="52"/>
      <c r="D21" s="52"/>
      <c r="E21" s="34" t="s">
        <v>152</v>
      </c>
      <c r="F21" s="34" t="s">
        <v>93</v>
      </c>
      <c r="G21" s="34" t="s">
        <v>93</v>
      </c>
      <c r="H21" s="34" t="s">
        <v>98</v>
      </c>
      <c r="I21" s="59" t="s">
        <v>172</v>
      </c>
      <c r="J21" s="59"/>
    </row>
    <row r="22" customFormat="false" ht="28.35" hidden="false" customHeight="true" outlineLevel="0" collapsed="false">
      <c r="A22" s="34" t="s">
        <v>186</v>
      </c>
      <c r="B22" s="52" t="s">
        <v>9</v>
      </c>
      <c r="C22" s="52"/>
      <c r="D22" s="52"/>
      <c r="E22" s="34" t="s">
        <v>152</v>
      </c>
      <c r="F22" s="34" t="s">
        <v>93</v>
      </c>
      <c r="G22" s="34" t="s">
        <v>93</v>
      </c>
      <c r="H22" s="34" t="s">
        <v>98</v>
      </c>
      <c r="I22" s="59" t="s">
        <v>172</v>
      </c>
      <c r="J22" s="59"/>
    </row>
    <row r="23" customFormat="false" ht="28.35" hidden="false" customHeight="true" outlineLevel="0" collapsed="false">
      <c r="A23" s="34" t="s">
        <v>187</v>
      </c>
      <c r="B23" s="52" t="s">
        <v>188</v>
      </c>
      <c r="C23" s="52"/>
      <c r="D23" s="52"/>
      <c r="E23" s="34" t="s">
        <v>189</v>
      </c>
      <c r="F23" s="34" t="s">
        <v>93</v>
      </c>
      <c r="G23" s="34" t="s">
        <v>93</v>
      </c>
      <c r="H23" s="34" t="s">
        <v>98</v>
      </c>
      <c r="I23" s="59" t="s">
        <v>172</v>
      </c>
      <c r="J23" s="59"/>
    </row>
    <row r="24" customFormat="false" ht="28.35" hidden="false" customHeight="true" outlineLevel="0" collapsed="false">
      <c r="A24" s="34" t="s">
        <v>190</v>
      </c>
      <c r="B24" s="52" t="s">
        <v>191</v>
      </c>
      <c r="C24" s="52"/>
      <c r="D24" s="52"/>
      <c r="E24" s="34" t="s">
        <v>152</v>
      </c>
      <c r="F24" s="34" t="s">
        <v>93</v>
      </c>
      <c r="G24" s="34" t="s">
        <v>93</v>
      </c>
      <c r="H24" s="34" t="s">
        <v>192</v>
      </c>
      <c r="I24" s="59" t="s">
        <v>172</v>
      </c>
      <c r="J24" s="59"/>
    </row>
    <row r="25" customFormat="false" ht="28.35" hidden="false" customHeight="true" outlineLevel="0" collapsed="false">
      <c r="A25" s="34" t="s">
        <v>193</v>
      </c>
      <c r="B25" s="52" t="s">
        <v>194</v>
      </c>
      <c r="C25" s="52"/>
      <c r="D25" s="52"/>
      <c r="E25" s="34" t="s">
        <v>152</v>
      </c>
      <c r="F25" s="34" t="s">
        <v>93</v>
      </c>
      <c r="G25" s="34" t="s">
        <v>93</v>
      </c>
      <c r="H25" s="34" t="s">
        <v>98</v>
      </c>
      <c r="I25" s="59" t="s">
        <v>172</v>
      </c>
      <c r="J25" s="59"/>
    </row>
    <row r="26" customFormat="false" ht="28.35" hidden="false" customHeight="true" outlineLevel="0" collapsed="false">
      <c r="A26" s="34" t="s">
        <v>195</v>
      </c>
      <c r="B26" s="52" t="s">
        <v>18</v>
      </c>
      <c r="C26" s="52"/>
      <c r="D26" s="52"/>
      <c r="E26" s="34" t="s">
        <v>152</v>
      </c>
      <c r="F26" s="34" t="s">
        <v>93</v>
      </c>
      <c r="G26" s="34" t="s">
        <v>93</v>
      </c>
      <c r="H26" s="34" t="s">
        <v>98</v>
      </c>
      <c r="I26" s="59" t="s">
        <v>172</v>
      </c>
      <c r="J26" s="59"/>
    </row>
    <row r="27" customFormat="false" ht="28.35" hidden="false" customHeight="true" outlineLevel="0" collapsed="false">
      <c r="A27" s="34" t="s">
        <v>196</v>
      </c>
      <c r="B27" s="52" t="s">
        <v>197</v>
      </c>
      <c r="C27" s="52"/>
      <c r="D27" s="52"/>
      <c r="E27" s="34" t="s">
        <v>52</v>
      </c>
      <c r="F27" s="34" t="s">
        <v>93</v>
      </c>
      <c r="G27" s="34" t="s">
        <v>93</v>
      </c>
      <c r="H27" s="34" t="s">
        <v>98</v>
      </c>
      <c r="I27" s="59" t="s">
        <v>172</v>
      </c>
      <c r="J27" s="59"/>
    </row>
    <row r="28" customFormat="false" ht="14.25" hidden="false" customHeight="false" outlineLevel="0" collapsed="false">
      <c r="A28" s="55"/>
      <c r="B28" s="56"/>
      <c r="C28" s="56"/>
      <c r="D28" s="56"/>
      <c r="E28" s="55"/>
      <c r="F28" s="55"/>
      <c r="G28" s="55"/>
      <c r="H28" s="55"/>
      <c r="I28" s="41"/>
      <c r="J28" s="41"/>
    </row>
    <row r="29" customFormat="false" ht="14.25" hidden="false" customHeight="true" outlineLevel="0" collapsed="false">
      <c r="A29" s="57" t="s">
        <v>198</v>
      </c>
      <c r="B29" s="58" t="s">
        <v>199</v>
      </c>
      <c r="C29" s="58"/>
      <c r="D29" s="58"/>
      <c r="E29" s="34" t="s">
        <v>52</v>
      </c>
      <c r="F29" s="34" t="s">
        <v>168</v>
      </c>
      <c r="G29" s="34" t="s">
        <v>168</v>
      </c>
      <c r="H29" s="34" t="s">
        <v>98</v>
      </c>
      <c r="I29" s="59" t="s">
        <v>172</v>
      </c>
      <c r="J29" s="59"/>
    </row>
    <row r="30" customFormat="false" ht="28.35" hidden="false" customHeight="true" outlineLevel="0" collapsed="false">
      <c r="A30" s="34" t="s">
        <v>200</v>
      </c>
      <c r="B30" s="52" t="s">
        <v>201</v>
      </c>
      <c r="C30" s="52"/>
      <c r="D30" s="52"/>
      <c r="E30" s="34" t="s">
        <v>152</v>
      </c>
      <c r="F30" s="34" t="s">
        <v>93</v>
      </c>
      <c r="G30" s="34" t="s">
        <v>93</v>
      </c>
      <c r="H30" s="34" t="s">
        <v>98</v>
      </c>
      <c r="I30" s="59" t="s">
        <v>172</v>
      </c>
      <c r="J30" s="59"/>
    </row>
    <row r="31" customFormat="false" ht="28.35" hidden="false" customHeight="true" outlineLevel="0" collapsed="false">
      <c r="A31" s="34" t="s">
        <v>202</v>
      </c>
      <c r="B31" s="52" t="s">
        <v>203</v>
      </c>
      <c r="C31" s="52"/>
      <c r="D31" s="52"/>
      <c r="E31" s="34" t="s">
        <v>52</v>
      </c>
      <c r="F31" s="34" t="s">
        <v>93</v>
      </c>
      <c r="G31" s="34" t="s">
        <v>93</v>
      </c>
      <c r="H31" s="34" t="s">
        <v>98</v>
      </c>
      <c r="I31" s="59" t="s">
        <v>172</v>
      </c>
      <c r="J31" s="59"/>
    </row>
    <row r="32" customFormat="false" ht="28.35" hidden="false" customHeight="true" outlineLevel="0" collapsed="false">
      <c r="A32" s="34" t="s">
        <v>204</v>
      </c>
      <c r="B32" s="52" t="s">
        <v>205</v>
      </c>
      <c r="C32" s="52"/>
      <c r="D32" s="52"/>
      <c r="E32" s="34" t="s">
        <v>152</v>
      </c>
      <c r="F32" s="34" t="s">
        <v>93</v>
      </c>
      <c r="G32" s="34" t="s">
        <v>93</v>
      </c>
      <c r="H32" s="34" t="s">
        <v>98</v>
      </c>
      <c r="I32" s="59" t="s">
        <v>172</v>
      </c>
      <c r="J32" s="59"/>
    </row>
    <row r="33" customFormat="false" ht="28.35" hidden="false" customHeight="true" outlineLevel="0" collapsed="false">
      <c r="A33" s="34" t="s">
        <v>206</v>
      </c>
      <c r="B33" s="52" t="s">
        <v>207</v>
      </c>
      <c r="C33" s="52"/>
      <c r="D33" s="52"/>
      <c r="E33" s="34" t="s">
        <v>152</v>
      </c>
      <c r="F33" s="34" t="s">
        <v>93</v>
      </c>
      <c r="G33" s="34" t="s">
        <v>93</v>
      </c>
      <c r="H33" s="34" t="s">
        <v>98</v>
      </c>
      <c r="I33" s="59" t="s">
        <v>172</v>
      </c>
      <c r="J33" s="59"/>
    </row>
    <row r="34" customFormat="false" ht="14.25" hidden="false" customHeight="false" outlineLevel="0" collapsed="false">
      <c r="A34" s="55"/>
      <c r="B34" s="56"/>
      <c r="C34" s="56"/>
      <c r="D34" s="56"/>
      <c r="E34" s="55"/>
      <c r="F34" s="55"/>
      <c r="G34" s="55"/>
      <c r="H34" s="55"/>
      <c r="I34" s="41"/>
      <c r="J34" s="41"/>
    </row>
    <row r="35" customFormat="false" ht="14.25" hidden="false" customHeight="true" outlineLevel="0" collapsed="false">
      <c r="A35" s="57" t="s">
        <v>208</v>
      </c>
      <c r="B35" s="58" t="s">
        <v>209</v>
      </c>
      <c r="C35" s="58"/>
      <c r="D35" s="58"/>
      <c r="E35" s="34" t="s">
        <v>52</v>
      </c>
      <c r="F35" s="34" t="s">
        <v>168</v>
      </c>
      <c r="G35" s="34" t="s">
        <v>168</v>
      </c>
      <c r="H35" s="34" t="s">
        <v>98</v>
      </c>
      <c r="I35" s="59" t="s">
        <v>172</v>
      </c>
      <c r="J35" s="59"/>
    </row>
    <row r="36" customFormat="false" ht="28.35" hidden="false" customHeight="true" outlineLevel="0" collapsed="false">
      <c r="A36" s="34" t="s">
        <v>210</v>
      </c>
      <c r="B36" s="52" t="s">
        <v>211</v>
      </c>
      <c r="C36" s="52"/>
      <c r="D36" s="52"/>
      <c r="E36" s="34" t="s">
        <v>152</v>
      </c>
      <c r="F36" s="34" t="s">
        <v>93</v>
      </c>
      <c r="G36" s="34" t="s">
        <v>93</v>
      </c>
      <c r="H36" s="34" t="s">
        <v>98</v>
      </c>
      <c r="I36" s="59" t="s">
        <v>172</v>
      </c>
      <c r="J36" s="59"/>
    </row>
    <row r="37" customFormat="false" ht="28.35" hidden="false" customHeight="true" outlineLevel="0" collapsed="false">
      <c r="A37" s="34" t="s">
        <v>212</v>
      </c>
      <c r="B37" s="52" t="s">
        <v>213</v>
      </c>
      <c r="C37" s="52"/>
      <c r="D37" s="52"/>
      <c r="E37" s="34" t="s">
        <v>152</v>
      </c>
      <c r="F37" s="34" t="s">
        <v>93</v>
      </c>
      <c r="G37" s="34" t="s">
        <v>93</v>
      </c>
      <c r="H37" s="34" t="s">
        <v>98</v>
      </c>
      <c r="I37" s="59" t="s">
        <v>172</v>
      </c>
      <c r="J37" s="59"/>
    </row>
    <row r="38" customFormat="false" ht="14.25" hidden="false" customHeight="false" outlineLevel="0" collapsed="false">
      <c r="A38" s="55"/>
      <c r="B38" s="56"/>
      <c r="C38" s="56"/>
      <c r="D38" s="56"/>
      <c r="E38" s="55"/>
      <c r="F38" s="55"/>
      <c r="G38" s="55"/>
      <c r="H38" s="55"/>
      <c r="I38" s="41"/>
      <c r="J38" s="41"/>
    </row>
    <row r="39" customFormat="false" ht="14.25" hidden="false" customHeight="false" outlineLevel="0" collapsed="false">
      <c r="A39" s="55"/>
      <c r="B39" s="56"/>
      <c r="C39" s="56"/>
      <c r="D39" s="56"/>
      <c r="E39" s="55"/>
      <c r="F39" s="55"/>
      <c r="G39" s="55"/>
      <c r="H39" s="55"/>
      <c r="I39" s="41"/>
      <c r="J39" s="41"/>
    </row>
    <row r="40" customFormat="false" ht="14.25" hidden="false" customHeight="false" outlineLevel="0" collapsed="false">
      <c r="A40" s="55"/>
      <c r="B40" s="56"/>
      <c r="C40" s="56"/>
      <c r="D40" s="56"/>
      <c r="E40" s="55"/>
      <c r="F40" s="55"/>
      <c r="G40" s="55"/>
      <c r="H40" s="55"/>
      <c r="I40" s="41"/>
      <c r="J40" s="41"/>
    </row>
    <row r="41" customFormat="false" ht="14.25" hidden="false" customHeight="false" outlineLevel="0" collapsed="false">
      <c r="A41" s="55"/>
      <c r="B41" s="56"/>
      <c r="C41" s="56"/>
      <c r="D41" s="56"/>
      <c r="E41" s="55"/>
      <c r="F41" s="55"/>
      <c r="G41" s="55"/>
      <c r="H41" s="55"/>
      <c r="I41" s="41"/>
      <c r="J41" s="41"/>
    </row>
    <row r="42" customFormat="false" ht="14.25" hidden="false" customHeight="false" outlineLevel="0" collapsed="false">
      <c r="A42" s="55"/>
      <c r="B42" s="56"/>
      <c r="C42" s="56"/>
      <c r="D42" s="56"/>
      <c r="E42" s="55"/>
      <c r="F42" s="55"/>
      <c r="G42" s="55"/>
      <c r="H42" s="55"/>
      <c r="I42" s="41"/>
      <c r="J42" s="41"/>
    </row>
    <row r="44" customFormat="false" ht="14.25" hidden="false" customHeight="false" outlineLevel="0" collapsed="false">
      <c r="A44" s="60" t="s">
        <v>149</v>
      </c>
      <c r="B44" s="61"/>
      <c r="C44" s="62" t="s">
        <v>214</v>
      </c>
      <c r="D44" s="61"/>
      <c r="E44" s="63" t="s">
        <v>172</v>
      </c>
      <c r="F44" s="61"/>
      <c r="G44" s="64" t="s">
        <v>165</v>
      </c>
    </row>
  </sheetData>
  <autoFilter ref="A5:J5">
    <filterColumn colId="0" hiddenButton="1"/>
    <filterColumn colId="1" hiddenButton="1"/>
    <filterColumn colId="2" hiddenButton="1"/>
  </autoFilter>
  <mergeCells count="80">
    <mergeCell ref="B2:D2"/>
    <mergeCell ref="F2:G2"/>
    <mergeCell ref="H2:J2"/>
    <mergeCell ref="B3:D3"/>
    <mergeCell ref="B5:D5"/>
    <mergeCell ref="I5:J5"/>
    <mergeCell ref="B6:D6"/>
    <mergeCell ref="I6:J6"/>
    <mergeCell ref="B7:D7"/>
    <mergeCell ref="I7:J7"/>
    <mergeCell ref="B8:D8"/>
    <mergeCell ref="I8:J8"/>
    <mergeCell ref="B9:D9"/>
    <mergeCell ref="I9:J9"/>
    <mergeCell ref="B10:D10"/>
    <mergeCell ref="I10:J10"/>
    <mergeCell ref="B11:D11"/>
    <mergeCell ref="I11:J11"/>
    <mergeCell ref="B12:D12"/>
    <mergeCell ref="I12:J12"/>
    <mergeCell ref="B13:D13"/>
    <mergeCell ref="I13:J13"/>
    <mergeCell ref="B14:D14"/>
    <mergeCell ref="I14:J14"/>
    <mergeCell ref="B15:D15"/>
    <mergeCell ref="I15:J15"/>
    <mergeCell ref="B16:D16"/>
    <mergeCell ref="I16:J16"/>
    <mergeCell ref="B17:D17"/>
    <mergeCell ref="I17:J17"/>
    <mergeCell ref="B18:D18"/>
    <mergeCell ref="I18:J18"/>
    <mergeCell ref="B19:D19"/>
    <mergeCell ref="I19:J19"/>
    <mergeCell ref="B20:D20"/>
    <mergeCell ref="I20:J20"/>
    <mergeCell ref="B21:D21"/>
    <mergeCell ref="I21:J21"/>
    <mergeCell ref="B22:D22"/>
    <mergeCell ref="I22:J22"/>
    <mergeCell ref="B23:D23"/>
    <mergeCell ref="I23:J23"/>
    <mergeCell ref="B24:D24"/>
    <mergeCell ref="I24:J24"/>
    <mergeCell ref="B25:D25"/>
    <mergeCell ref="I25:J25"/>
    <mergeCell ref="B26:D26"/>
    <mergeCell ref="I26:J26"/>
    <mergeCell ref="B27:D27"/>
    <mergeCell ref="I27:J27"/>
    <mergeCell ref="B28:D28"/>
    <mergeCell ref="I28:J28"/>
    <mergeCell ref="B29:D29"/>
    <mergeCell ref="I29:J29"/>
    <mergeCell ref="B30:D30"/>
    <mergeCell ref="I30:J30"/>
    <mergeCell ref="B31:D31"/>
    <mergeCell ref="I31:J31"/>
    <mergeCell ref="B32:D32"/>
    <mergeCell ref="I32:J32"/>
    <mergeCell ref="B33:D33"/>
    <mergeCell ref="I33:J33"/>
    <mergeCell ref="B34:D34"/>
    <mergeCell ref="I34:J34"/>
    <mergeCell ref="B35:D35"/>
    <mergeCell ref="I35:J35"/>
    <mergeCell ref="B36:D36"/>
    <mergeCell ref="I36:J36"/>
    <mergeCell ref="B37:D37"/>
    <mergeCell ref="I37:J37"/>
    <mergeCell ref="B38:D38"/>
    <mergeCell ref="I38:J38"/>
    <mergeCell ref="B39:D39"/>
    <mergeCell ref="I39:J39"/>
    <mergeCell ref="B40:D40"/>
    <mergeCell ref="I40:J40"/>
    <mergeCell ref="B41:D41"/>
    <mergeCell ref="I41:J41"/>
    <mergeCell ref="B42:D42"/>
    <mergeCell ref="I42:J42"/>
  </mergeCells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&amp;L&amp;"Aptos Narrow,Bold"INTEGRATED _x005F_x000a_MASTER SCHEDULE&amp;COhioma Eboreime PhD. P.E.&amp;RV1.0</oddHeader>
    <oddFooter>&amp;LDate: 07.09.2026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I11" activeCellId="0" sqref="I11"/>
    </sheetView>
  </sheetViews>
  <sheetFormatPr defaultColWidth="8.84375" defaultRowHeight="14.25" zeroHeight="false" outlineLevelRow="0" outlineLevelCol="0"/>
  <cols>
    <col collapsed="false" customWidth="false" hidden="false" outlineLevel="0" max="16384" min="1" style="1" width="8.84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45" t="s">
        <v>133</v>
      </c>
      <c r="B2" s="46" t="s">
        <v>134</v>
      </c>
      <c r="C2" s="46"/>
      <c r="D2" s="46"/>
      <c r="F2" s="47" t="s">
        <v>135</v>
      </c>
      <c r="G2" s="47"/>
      <c r="H2" s="6" t="s">
        <v>136</v>
      </c>
      <c r="I2" s="6"/>
      <c r="J2" s="6"/>
    </row>
    <row r="3" customFormat="false" ht="14.25" hidden="false" customHeight="true" outlineLevel="0" collapsed="false">
      <c r="A3" s="45" t="s">
        <v>137</v>
      </c>
      <c r="B3" s="6" t="s">
        <v>52</v>
      </c>
      <c r="C3" s="6"/>
      <c r="D3" s="6"/>
    </row>
    <row r="4" customFormat="false" ht="14.25" hidden="false" customHeight="true" outlineLevel="0" collapsed="false"/>
    <row r="5" customFormat="false" ht="14.25" hidden="false" customHeight="true" outlineLevel="0" collapsed="false">
      <c r="B5" s="65"/>
      <c r="E5" s="66" t="s">
        <v>215</v>
      </c>
      <c r="F5" s="67" t="s">
        <v>216</v>
      </c>
      <c r="G5" s="67" t="s">
        <v>217</v>
      </c>
      <c r="H5" s="67" t="s">
        <v>218</v>
      </c>
      <c r="I5" s="67" t="s">
        <v>219</v>
      </c>
      <c r="J5" s="68" t="s">
        <v>93</v>
      </c>
    </row>
    <row r="6" customFormat="false" ht="14.25" hidden="false" customHeight="true" outlineLevel="0" collapsed="false">
      <c r="A6" s="24" t="s">
        <v>220</v>
      </c>
      <c r="B6" s="24"/>
      <c r="C6" s="24"/>
      <c r="D6" s="24"/>
      <c r="E6" s="69"/>
      <c r="F6" s="70"/>
      <c r="G6" s="70"/>
      <c r="H6" s="70"/>
      <c r="I6" s="70"/>
      <c r="J6" s="71"/>
    </row>
    <row r="7" customFormat="false" ht="14.25" hidden="false" customHeight="true" outlineLevel="0" collapsed="false">
      <c r="A7" s="72" t="s">
        <v>221</v>
      </c>
      <c r="B7" s="72"/>
      <c r="C7" s="72"/>
      <c r="D7" s="72"/>
      <c r="E7" s="73" t="s">
        <v>222</v>
      </c>
      <c r="F7" s="30" t="s">
        <v>223</v>
      </c>
      <c r="G7" s="30" t="s">
        <v>224</v>
      </c>
      <c r="H7" s="30" t="s">
        <v>225</v>
      </c>
      <c r="I7" s="30" t="s">
        <v>225</v>
      </c>
      <c r="J7" s="74"/>
    </row>
    <row r="8" customFormat="false" ht="14.25" hidden="false" customHeight="true" outlineLevel="0" collapsed="false">
      <c r="A8" s="32" t="s">
        <v>226</v>
      </c>
      <c r="B8" s="32"/>
      <c r="C8" s="32"/>
      <c r="D8" s="32"/>
      <c r="E8" s="75" t="s">
        <v>222</v>
      </c>
      <c r="F8" s="34" t="s">
        <v>224</v>
      </c>
      <c r="G8" s="34" t="s">
        <v>223</v>
      </c>
      <c r="H8" s="34" t="s">
        <v>223</v>
      </c>
      <c r="I8" s="34" t="s">
        <v>225</v>
      </c>
      <c r="J8" s="76"/>
    </row>
    <row r="9" customFormat="false" ht="14.25" hidden="false" customHeight="true" outlineLevel="0" collapsed="false">
      <c r="A9" s="32" t="s">
        <v>227</v>
      </c>
      <c r="B9" s="32"/>
      <c r="C9" s="32"/>
      <c r="D9" s="32"/>
      <c r="E9" s="75" t="s">
        <v>222</v>
      </c>
      <c r="F9" s="34" t="s">
        <v>224</v>
      </c>
      <c r="G9" s="34" t="s">
        <v>223</v>
      </c>
      <c r="H9" s="34" t="s">
        <v>223</v>
      </c>
      <c r="I9" s="34" t="s">
        <v>225</v>
      </c>
      <c r="J9" s="76"/>
    </row>
    <row r="10" customFormat="false" ht="14.25" hidden="false" customHeight="true" outlineLevel="0" collapsed="false">
      <c r="A10" s="32" t="s">
        <v>228</v>
      </c>
      <c r="B10" s="32"/>
      <c r="C10" s="32"/>
      <c r="D10" s="32"/>
      <c r="E10" s="75" t="s">
        <v>222</v>
      </c>
      <c r="F10" s="34" t="s">
        <v>224</v>
      </c>
      <c r="G10" s="34" t="s">
        <v>224</v>
      </c>
      <c r="H10" s="34" t="s">
        <v>223</v>
      </c>
      <c r="I10" s="34" t="s">
        <v>225</v>
      </c>
      <c r="J10" s="76"/>
    </row>
    <row r="11" customFormat="false" ht="14.25" hidden="false" customHeight="true" outlineLevel="0" collapsed="false">
      <c r="A11" s="32" t="s">
        <v>229</v>
      </c>
      <c r="B11" s="32"/>
      <c r="C11" s="32"/>
      <c r="D11" s="32"/>
      <c r="E11" s="75" t="s">
        <v>222</v>
      </c>
      <c r="F11" s="34" t="s">
        <v>224</v>
      </c>
      <c r="G11" s="34" t="s">
        <v>223</v>
      </c>
      <c r="H11" s="34" t="s">
        <v>223</v>
      </c>
      <c r="I11" s="34" t="s">
        <v>225</v>
      </c>
      <c r="J11" s="76"/>
    </row>
    <row r="12" customFormat="false" ht="14.25" hidden="false" customHeight="true" outlineLevel="0" collapsed="false">
      <c r="A12" s="32" t="s">
        <v>230</v>
      </c>
      <c r="B12" s="32"/>
      <c r="C12" s="32"/>
      <c r="D12" s="32"/>
      <c r="E12" s="75" t="s">
        <v>222</v>
      </c>
      <c r="F12" s="34" t="s">
        <v>224</v>
      </c>
      <c r="G12" s="34" t="s">
        <v>225</v>
      </c>
      <c r="H12" s="34" t="s">
        <v>223</v>
      </c>
      <c r="I12" s="34" t="s">
        <v>225</v>
      </c>
      <c r="J12" s="76"/>
    </row>
    <row r="13" customFormat="false" ht="14.25" hidden="false" customHeight="true" outlineLevel="0" collapsed="false">
      <c r="A13" s="32" t="s">
        <v>231</v>
      </c>
      <c r="B13" s="32"/>
      <c r="C13" s="32"/>
      <c r="D13" s="32"/>
      <c r="E13" s="75" t="s">
        <v>222</v>
      </c>
      <c r="F13" s="34" t="s">
        <v>224</v>
      </c>
      <c r="G13" s="34" t="s">
        <v>223</v>
      </c>
      <c r="H13" s="34" t="s">
        <v>223</v>
      </c>
      <c r="I13" s="34" t="s">
        <v>225</v>
      </c>
      <c r="J13" s="76"/>
    </row>
    <row r="14" customFormat="false" ht="14.25" hidden="false" customHeight="true" outlineLevel="0" collapsed="false">
      <c r="A14" s="32" t="s">
        <v>232</v>
      </c>
      <c r="B14" s="32"/>
      <c r="C14" s="32"/>
      <c r="D14" s="32"/>
      <c r="E14" s="75" t="s">
        <v>222</v>
      </c>
      <c r="F14" s="34" t="s">
        <v>224</v>
      </c>
      <c r="G14" s="34" t="s">
        <v>223</v>
      </c>
      <c r="H14" s="34" t="s">
        <v>223</v>
      </c>
      <c r="I14" s="34" t="s">
        <v>225</v>
      </c>
      <c r="J14" s="76"/>
    </row>
    <row r="15" customFormat="false" ht="14.25" hidden="false" customHeight="true" outlineLevel="0" collapsed="false">
      <c r="A15" s="32" t="s">
        <v>233</v>
      </c>
      <c r="B15" s="32"/>
      <c r="C15" s="32"/>
      <c r="D15" s="32"/>
      <c r="E15" s="75" t="s">
        <v>222</v>
      </c>
      <c r="F15" s="34" t="s">
        <v>224</v>
      </c>
      <c r="G15" s="34" t="s">
        <v>225</v>
      </c>
      <c r="H15" s="34" t="s">
        <v>225</v>
      </c>
      <c r="I15" s="34" t="s">
        <v>225</v>
      </c>
      <c r="J15" s="76"/>
    </row>
    <row r="16" customFormat="false" ht="14.25" hidden="false" customHeight="true" outlineLevel="0" collapsed="false">
      <c r="A16" s="32" t="s">
        <v>234</v>
      </c>
      <c r="B16" s="32"/>
      <c r="C16" s="32"/>
      <c r="D16" s="32"/>
      <c r="E16" s="77" t="s">
        <v>224</v>
      </c>
      <c r="F16" s="34" t="s">
        <v>223</v>
      </c>
      <c r="G16" s="34" t="s">
        <v>225</v>
      </c>
      <c r="H16" s="34" t="s">
        <v>225</v>
      </c>
      <c r="I16" s="57" t="s">
        <v>222</v>
      </c>
      <c r="J16" s="76"/>
    </row>
    <row r="17" customFormat="false" ht="14.25" hidden="false" customHeight="true" outlineLevel="0" collapsed="false">
      <c r="A17" s="32" t="s">
        <v>235</v>
      </c>
      <c r="B17" s="32"/>
      <c r="C17" s="32"/>
      <c r="D17" s="32"/>
      <c r="E17" s="75" t="s">
        <v>222</v>
      </c>
      <c r="F17" s="34" t="s">
        <v>223</v>
      </c>
      <c r="G17" s="34" t="s">
        <v>223</v>
      </c>
      <c r="H17" s="34" t="s">
        <v>224</v>
      </c>
      <c r="I17" s="34" t="s">
        <v>225</v>
      </c>
      <c r="J17" s="76"/>
    </row>
    <row r="18" customFormat="false" ht="14.25" hidden="false" customHeight="true" outlineLevel="0" collapsed="false">
      <c r="A18" s="32" t="s">
        <v>236</v>
      </c>
      <c r="B18" s="32"/>
      <c r="C18" s="32"/>
      <c r="D18" s="32"/>
      <c r="E18" s="77" t="s">
        <v>224</v>
      </c>
      <c r="F18" s="34" t="s">
        <v>225</v>
      </c>
      <c r="G18" s="34" t="s">
        <v>225</v>
      </c>
      <c r="H18" s="34" t="s">
        <v>225</v>
      </c>
      <c r="I18" s="57" t="s">
        <v>222</v>
      </c>
      <c r="J18" s="76"/>
    </row>
    <row r="19" customFormat="false" ht="14.25" hidden="false" customHeight="true" outlineLevel="0" collapsed="false">
      <c r="A19" s="32" t="s">
        <v>237</v>
      </c>
      <c r="B19" s="32"/>
      <c r="C19" s="32"/>
      <c r="D19" s="32"/>
      <c r="E19" s="75" t="s">
        <v>222</v>
      </c>
      <c r="F19" s="34" t="s">
        <v>223</v>
      </c>
      <c r="G19" s="34" t="s">
        <v>224</v>
      </c>
      <c r="H19" s="34" t="s">
        <v>223</v>
      </c>
      <c r="I19" s="34" t="s">
        <v>225</v>
      </c>
      <c r="J19" s="76"/>
    </row>
    <row r="20" customFormat="false" ht="14.25" hidden="false" customHeight="false" outlineLevel="0" collapsed="false">
      <c r="A20" s="78"/>
      <c r="B20" s="78"/>
      <c r="C20" s="78"/>
      <c r="D20" s="78"/>
      <c r="E20" s="79"/>
      <c r="F20" s="55"/>
      <c r="G20" s="55"/>
      <c r="H20" s="55"/>
      <c r="I20" s="55"/>
      <c r="J20" s="80"/>
    </row>
    <row r="21" customFormat="false" ht="14.25" hidden="false" customHeight="false" outlineLevel="0" collapsed="false">
      <c r="A21" s="78"/>
      <c r="B21" s="78"/>
      <c r="C21" s="78"/>
      <c r="D21" s="78"/>
      <c r="E21" s="79"/>
      <c r="F21" s="55"/>
      <c r="G21" s="55"/>
      <c r="H21" s="55"/>
      <c r="I21" s="55"/>
      <c r="J21" s="80"/>
    </row>
    <row r="22" customFormat="false" ht="14.25" hidden="false" customHeight="false" outlineLevel="0" collapsed="false">
      <c r="A22" s="78"/>
      <c r="B22" s="78"/>
      <c r="C22" s="78"/>
      <c r="D22" s="78"/>
      <c r="E22" s="79"/>
      <c r="F22" s="55"/>
      <c r="G22" s="55"/>
      <c r="H22" s="55"/>
      <c r="I22" s="55"/>
      <c r="J22" s="80"/>
    </row>
    <row r="23" customFormat="false" ht="14.25" hidden="false" customHeight="false" outlineLevel="0" collapsed="false">
      <c r="A23" s="78"/>
      <c r="B23" s="78"/>
      <c r="C23" s="78"/>
      <c r="D23" s="78"/>
      <c r="E23" s="79"/>
      <c r="F23" s="55"/>
      <c r="G23" s="55"/>
      <c r="H23" s="55"/>
      <c r="I23" s="55"/>
      <c r="J23" s="80"/>
    </row>
    <row r="24" customFormat="false" ht="14.25" hidden="false" customHeight="false" outlineLevel="0" collapsed="false">
      <c r="A24" s="78"/>
      <c r="B24" s="78"/>
      <c r="C24" s="78"/>
      <c r="D24" s="78"/>
      <c r="E24" s="79"/>
      <c r="F24" s="55"/>
      <c r="G24" s="55"/>
      <c r="H24" s="55"/>
      <c r="I24" s="55"/>
      <c r="J24" s="80"/>
    </row>
    <row r="25" customFormat="false" ht="14.25" hidden="false" customHeight="false" outlineLevel="0" collapsed="false">
      <c r="A25" s="78"/>
      <c r="B25" s="78"/>
      <c r="C25" s="78"/>
      <c r="D25" s="78"/>
      <c r="E25" s="79"/>
      <c r="F25" s="55"/>
      <c r="G25" s="55"/>
      <c r="H25" s="55"/>
      <c r="I25" s="55"/>
      <c r="J25" s="80"/>
    </row>
    <row r="26" customFormat="false" ht="14.25" hidden="false" customHeight="false" outlineLevel="0" collapsed="false">
      <c r="A26" s="78"/>
      <c r="B26" s="78"/>
      <c r="C26" s="78"/>
      <c r="D26" s="78"/>
      <c r="E26" s="79"/>
      <c r="F26" s="55"/>
      <c r="G26" s="55"/>
      <c r="H26" s="55"/>
      <c r="I26" s="55"/>
      <c r="J26" s="80"/>
    </row>
    <row r="27" customFormat="false" ht="14.25" hidden="false" customHeight="false" outlineLevel="0" collapsed="false">
      <c r="A27" s="78"/>
      <c r="B27" s="78"/>
      <c r="C27" s="78"/>
      <c r="D27" s="78"/>
      <c r="E27" s="79"/>
      <c r="F27" s="55"/>
      <c r="G27" s="55"/>
      <c r="H27" s="55"/>
      <c r="I27" s="55"/>
      <c r="J27" s="80"/>
    </row>
    <row r="28" customFormat="false" ht="14.25" hidden="false" customHeight="false" outlineLevel="0" collapsed="false">
      <c r="A28" s="78"/>
      <c r="B28" s="78"/>
      <c r="C28" s="78"/>
      <c r="D28" s="78"/>
      <c r="E28" s="79"/>
      <c r="F28" s="55"/>
      <c r="G28" s="55"/>
      <c r="H28" s="55"/>
      <c r="I28" s="55"/>
      <c r="J28" s="80"/>
    </row>
    <row r="29" customFormat="false" ht="14.25" hidden="false" customHeight="false" outlineLevel="0" collapsed="false">
      <c r="A29" s="78"/>
      <c r="B29" s="78"/>
      <c r="C29" s="78"/>
      <c r="D29" s="78"/>
      <c r="E29" s="79"/>
      <c r="F29" s="55"/>
      <c r="G29" s="55"/>
      <c r="H29" s="55"/>
      <c r="I29" s="55"/>
      <c r="J29" s="80"/>
    </row>
    <row r="30" customFormat="false" ht="14.25" hidden="false" customHeight="false" outlineLevel="0" collapsed="false">
      <c r="A30" s="78"/>
      <c r="B30" s="78"/>
      <c r="C30" s="78"/>
      <c r="D30" s="78"/>
      <c r="E30" s="79"/>
      <c r="F30" s="55"/>
      <c r="G30" s="55"/>
      <c r="H30" s="55"/>
      <c r="I30" s="55"/>
      <c r="J30" s="80"/>
    </row>
    <row r="31" customFormat="false" ht="14.25" hidden="false" customHeight="false" outlineLevel="0" collapsed="false">
      <c r="A31" s="78"/>
      <c r="B31" s="78"/>
      <c r="C31" s="78"/>
      <c r="D31" s="78"/>
      <c r="E31" s="79"/>
      <c r="F31" s="55"/>
      <c r="G31" s="55"/>
      <c r="H31" s="55"/>
      <c r="I31" s="55"/>
      <c r="J31" s="80"/>
    </row>
    <row r="32" customFormat="false" ht="14.25" hidden="false" customHeight="false" outlineLevel="0" collapsed="false">
      <c r="A32" s="78"/>
      <c r="B32" s="78"/>
      <c r="C32" s="78"/>
      <c r="D32" s="78"/>
      <c r="E32" s="79"/>
      <c r="F32" s="55"/>
      <c r="G32" s="55"/>
      <c r="H32" s="55"/>
      <c r="I32" s="55"/>
      <c r="J32" s="80"/>
    </row>
    <row r="33" customFormat="false" ht="14.25" hidden="false" customHeight="false" outlineLevel="0" collapsed="false">
      <c r="A33" s="78"/>
      <c r="B33" s="78"/>
      <c r="C33" s="78"/>
      <c r="D33" s="78"/>
      <c r="E33" s="79"/>
      <c r="F33" s="55"/>
      <c r="G33" s="55"/>
      <c r="H33" s="55"/>
      <c r="I33" s="55"/>
      <c r="J33" s="80"/>
    </row>
    <row r="34" customFormat="false" ht="14.25" hidden="false" customHeight="false" outlineLevel="0" collapsed="false">
      <c r="A34" s="78"/>
      <c r="B34" s="78"/>
      <c r="C34" s="78"/>
      <c r="D34" s="78"/>
      <c r="E34" s="79"/>
      <c r="F34" s="55"/>
      <c r="G34" s="55"/>
      <c r="H34" s="55"/>
      <c r="I34" s="55"/>
      <c r="J34" s="80"/>
    </row>
    <row r="35" customFormat="false" ht="14.25" hidden="false" customHeight="false" outlineLevel="0" collapsed="false">
      <c r="A35" s="78"/>
      <c r="B35" s="78"/>
      <c r="C35" s="78"/>
      <c r="D35" s="78"/>
      <c r="E35" s="79"/>
      <c r="F35" s="55"/>
      <c r="G35" s="55"/>
      <c r="H35" s="55"/>
      <c r="I35" s="55"/>
      <c r="J35" s="80"/>
    </row>
    <row r="36" customFormat="false" ht="14.25" hidden="false" customHeight="false" outlineLevel="0" collapsed="false">
      <c r="A36" s="78"/>
      <c r="B36" s="78"/>
      <c r="C36" s="78"/>
      <c r="D36" s="78"/>
      <c r="E36" s="79"/>
      <c r="F36" s="55"/>
      <c r="G36" s="55"/>
      <c r="H36" s="55"/>
      <c r="I36" s="55"/>
      <c r="J36" s="80"/>
    </row>
    <row r="37" customFormat="false" ht="14.25" hidden="false" customHeight="false" outlineLevel="0" collapsed="false">
      <c r="A37" s="78"/>
      <c r="B37" s="78"/>
      <c r="C37" s="78"/>
      <c r="D37" s="78"/>
      <c r="E37" s="79"/>
      <c r="F37" s="55"/>
      <c r="G37" s="55"/>
      <c r="H37" s="55"/>
      <c r="I37" s="55"/>
      <c r="J37" s="80"/>
    </row>
    <row r="38" customFormat="false" ht="14.25" hidden="false" customHeight="false" outlineLevel="0" collapsed="false">
      <c r="A38" s="78"/>
      <c r="B38" s="78"/>
      <c r="C38" s="78"/>
      <c r="D38" s="78"/>
      <c r="E38" s="79"/>
      <c r="F38" s="55"/>
      <c r="G38" s="55"/>
      <c r="H38" s="55"/>
      <c r="I38" s="55"/>
      <c r="J38" s="80"/>
    </row>
    <row r="39" customFormat="false" ht="14.25" hidden="false" customHeight="false" outlineLevel="0" collapsed="false">
      <c r="A39" s="78"/>
      <c r="B39" s="78"/>
      <c r="C39" s="78"/>
      <c r="D39" s="78"/>
      <c r="E39" s="79"/>
      <c r="F39" s="55"/>
      <c r="G39" s="55"/>
      <c r="H39" s="55"/>
      <c r="I39" s="55"/>
      <c r="J39" s="80"/>
    </row>
    <row r="40" customFormat="false" ht="14.25" hidden="false" customHeight="false" outlineLevel="0" collapsed="false">
      <c r="A40" s="78"/>
      <c r="B40" s="78"/>
      <c r="C40" s="78"/>
      <c r="D40" s="78"/>
      <c r="E40" s="79"/>
      <c r="F40" s="55"/>
      <c r="G40" s="55"/>
      <c r="H40" s="55"/>
      <c r="I40" s="55"/>
      <c r="J40" s="80"/>
    </row>
    <row r="41" customFormat="false" ht="14.25" hidden="false" customHeight="true" outlineLevel="0" collapsed="false">
      <c r="A41" s="81"/>
      <c r="B41" s="81"/>
      <c r="C41" s="81"/>
      <c r="D41" s="81"/>
      <c r="E41" s="82"/>
      <c r="F41" s="83"/>
      <c r="G41" s="83"/>
      <c r="H41" s="83"/>
      <c r="I41" s="83"/>
      <c r="J41" s="84"/>
    </row>
    <row r="43" customFormat="false" ht="14.25" hidden="false" customHeight="false" outlineLevel="0" collapsed="false">
      <c r="A43" s="85" t="s">
        <v>224</v>
      </c>
      <c r="B43" s="86" t="s">
        <v>238</v>
      </c>
      <c r="C43" s="86"/>
      <c r="D43" s="87" t="s">
        <v>222</v>
      </c>
      <c r="E43" s="86" t="s">
        <v>239</v>
      </c>
      <c r="F43" s="86"/>
      <c r="G43" s="88" t="s">
        <v>223</v>
      </c>
      <c r="H43" s="1" t="s">
        <v>240</v>
      </c>
      <c r="I43" s="89" t="s">
        <v>225</v>
      </c>
      <c r="J43" s="1" t="s">
        <v>241</v>
      </c>
    </row>
  </sheetData>
  <mergeCells count="42">
    <mergeCell ref="B2:D2"/>
    <mergeCell ref="F2:G2"/>
    <mergeCell ref="H2:J2"/>
    <mergeCell ref="B3:D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B43:C43"/>
    <mergeCell ref="E43:F43"/>
  </mergeCells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&amp;L&amp;"Aptos Narrow,Bold"RACI Matrix&amp;COhioma Eboreime PhD. P.E.&amp;RV1.0</oddHeader>
    <oddFooter>&amp;LDate: 07.09.2026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3" activeCellId="0" sqref="G43"/>
    </sheetView>
  </sheetViews>
  <sheetFormatPr defaultColWidth="8.84375" defaultRowHeight="14.25" zeroHeight="false" outlineLevelRow="0" outlineLevelCol="0"/>
  <cols>
    <col collapsed="false" customWidth="false" hidden="false" outlineLevel="0" max="16384" min="1" style="1" width="8.84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45" t="s">
        <v>133</v>
      </c>
      <c r="B2" s="46" t="s">
        <v>134</v>
      </c>
      <c r="C2" s="46"/>
      <c r="D2" s="46"/>
      <c r="F2" s="47" t="s">
        <v>135</v>
      </c>
      <c r="G2" s="47"/>
      <c r="H2" s="6" t="s">
        <v>136</v>
      </c>
      <c r="I2" s="6"/>
      <c r="J2" s="6"/>
    </row>
    <row r="3" customFormat="false" ht="14.25" hidden="false" customHeight="true" outlineLevel="0" collapsed="false">
      <c r="A3" s="45" t="s">
        <v>137</v>
      </c>
      <c r="B3" s="6" t="s">
        <v>52</v>
      </c>
      <c r="C3" s="6"/>
      <c r="D3" s="6"/>
    </row>
    <row r="4" customFormat="false" ht="14.25" hidden="false" customHeight="true" outlineLevel="0" collapsed="false"/>
    <row r="5" customFormat="false" ht="14.25" hidden="false" customHeight="true" outlineLevel="0" collapsed="false">
      <c r="A5" s="90" t="s">
        <v>138</v>
      </c>
      <c r="B5" s="91" t="s">
        <v>242</v>
      </c>
      <c r="C5" s="91"/>
      <c r="D5" s="91"/>
      <c r="E5" s="91" t="s">
        <v>243</v>
      </c>
      <c r="F5" s="91" t="s">
        <v>244</v>
      </c>
      <c r="G5" s="91" t="s">
        <v>245</v>
      </c>
      <c r="H5" s="91" t="s">
        <v>246</v>
      </c>
      <c r="I5" s="91" t="s">
        <v>247</v>
      </c>
      <c r="J5" s="91"/>
    </row>
    <row r="6" customFormat="false" ht="14.25" hidden="false" customHeight="true" outlineLevel="0" collapsed="false">
      <c r="A6" s="92" t="s">
        <v>248</v>
      </c>
      <c r="B6" s="93" t="s">
        <v>249</v>
      </c>
      <c r="C6" s="93"/>
      <c r="D6" s="93"/>
      <c r="E6" s="94" t="s">
        <v>250</v>
      </c>
      <c r="F6" s="94" t="n">
        <v>4</v>
      </c>
      <c r="G6" s="94" t="n">
        <v>5</v>
      </c>
      <c r="H6" s="95" t="n">
        <f aca="false">$F6*$G6</f>
        <v>20</v>
      </c>
      <c r="I6" s="93" t="s">
        <v>251</v>
      </c>
      <c r="J6" s="93"/>
    </row>
    <row r="7" customFormat="false" ht="14.25" hidden="false" customHeight="true" outlineLevel="0" collapsed="false">
      <c r="A7" s="92" t="s">
        <v>252</v>
      </c>
      <c r="B7" s="93" t="s">
        <v>253</v>
      </c>
      <c r="C7" s="93"/>
      <c r="D7" s="93"/>
      <c r="E7" s="94" t="s">
        <v>254</v>
      </c>
      <c r="F7" s="94" t="n">
        <v>3</v>
      </c>
      <c r="G7" s="94" t="n">
        <v>4</v>
      </c>
      <c r="H7" s="95" t="n">
        <f aca="false">$F7*$G7</f>
        <v>12</v>
      </c>
      <c r="I7" s="93" t="s">
        <v>255</v>
      </c>
      <c r="J7" s="93"/>
    </row>
    <row r="8" customFormat="false" ht="14.25" hidden="false" customHeight="true" outlineLevel="0" collapsed="false">
      <c r="A8" s="92" t="s">
        <v>256</v>
      </c>
      <c r="B8" s="93" t="s">
        <v>257</v>
      </c>
      <c r="C8" s="93"/>
      <c r="D8" s="93"/>
      <c r="E8" s="94" t="s">
        <v>258</v>
      </c>
      <c r="F8" s="94" t="n">
        <v>3</v>
      </c>
      <c r="G8" s="94" t="n">
        <v>3</v>
      </c>
      <c r="H8" s="95" t="n">
        <f aca="false">$F8*$G8</f>
        <v>9</v>
      </c>
      <c r="I8" s="93" t="s">
        <v>259</v>
      </c>
      <c r="J8" s="93"/>
    </row>
    <row r="9" customFormat="false" ht="14.25" hidden="false" customHeight="true" outlineLevel="0" collapsed="false">
      <c r="A9" s="92" t="s">
        <v>260</v>
      </c>
      <c r="B9" s="93" t="s">
        <v>261</v>
      </c>
      <c r="C9" s="93"/>
      <c r="D9" s="93"/>
      <c r="E9" s="94" t="s">
        <v>250</v>
      </c>
      <c r="F9" s="94" t="n">
        <v>4</v>
      </c>
      <c r="G9" s="94" t="n">
        <v>2</v>
      </c>
      <c r="H9" s="95" t="n">
        <f aca="false">$F9*$G9</f>
        <v>8</v>
      </c>
      <c r="I9" s="93" t="s">
        <v>262</v>
      </c>
      <c r="J9" s="93"/>
    </row>
    <row r="10" customFormat="false" ht="14.25" hidden="false" customHeight="true" outlineLevel="0" collapsed="false">
      <c r="A10" s="92" t="s">
        <v>263</v>
      </c>
      <c r="B10" s="93" t="s">
        <v>264</v>
      </c>
      <c r="C10" s="93"/>
      <c r="D10" s="93"/>
      <c r="E10" s="94" t="s">
        <v>250</v>
      </c>
      <c r="F10" s="94" t="n">
        <v>2</v>
      </c>
      <c r="G10" s="94" t="n">
        <v>4</v>
      </c>
      <c r="H10" s="95" t="n">
        <f aca="false">$F10*$G10</f>
        <v>8</v>
      </c>
      <c r="I10" s="93" t="s">
        <v>265</v>
      </c>
      <c r="J10" s="93"/>
    </row>
    <row r="11" customFormat="false" ht="14.25" hidden="false" customHeight="true" outlineLevel="0" collapsed="false">
      <c r="A11" s="92" t="s">
        <v>266</v>
      </c>
      <c r="B11" s="93" t="s">
        <v>267</v>
      </c>
      <c r="C11" s="93"/>
      <c r="D11" s="93"/>
      <c r="E11" s="94" t="s">
        <v>268</v>
      </c>
      <c r="F11" s="94" t="n">
        <v>2</v>
      </c>
      <c r="G11" s="94" t="n">
        <v>3</v>
      </c>
      <c r="H11" s="95" t="n">
        <f aca="false">$F11*$G11</f>
        <v>6</v>
      </c>
      <c r="I11" s="93" t="s">
        <v>269</v>
      </c>
      <c r="J11" s="93"/>
    </row>
    <row r="12" customFormat="false" ht="14.25" hidden="false" customHeight="true" outlineLevel="0" collapsed="false">
      <c r="A12" s="92" t="s">
        <v>270</v>
      </c>
      <c r="B12" s="93" t="s">
        <v>271</v>
      </c>
      <c r="C12" s="93"/>
      <c r="D12" s="93"/>
      <c r="E12" s="94" t="s">
        <v>250</v>
      </c>
      <c r="F12" s="94" t="n">
        <v>3</v>
      </c>
      <c r="G12" s="94" t="n">
        <v>2</v>
      </c>
      <c r="H12" s="95" t="n">
        <f aca="false">$F12*$G12</f>
        <v>6</v>
      </c>
      <c r="I12" s="93" t="s">
        <v>272</v>
      </c>
      <c r="J12" s="93"/>
    </row>
    <row r="13" customFormat="false" ht="14.25" hidden="false" customHeight="true" outlineLevel="0" collapsed="false">
      <c r="A13" s="92" t="s">
        <v>273</v>
      </c>
      <c r="B13" s="93" t="s">
        <v>274</v>
      </c>
      <c r="C13" s="93"/>
      <c r="D13" s="93"/>
      <c r="E13" s="94" t="s">
        <v>268</v>
      </c>
      <c r="F13" s="94" t="n">
        <v>2</v>
      </c>
      <c r="G13" s="94" t="n">
        <v>3</v>
      </c>
      <c r="H13" s="95" t="n">
        <f aca="false">$F13*$G13</f>
        <v>6</v>
      </c>
      <c r="I13" s="93" t="s">
        <v>275</v>
      </c>
      <c r="J13" s="93"/>
    </row>
    <row r="14" customFormat="false" ht="14.25" hidden="false" customHeight="true" outlineLevel="0" collapsed="false">
      <c r="A14" s="92" t="s">
        <v>276</v>
      </c>
      <c r="B14" s="93" t="s">
        <v>277</v>
      </c>
      <c r="C14" s="93"/>
      <c r="D14" s="93"/>
      <c r="E14" s="94" t="s">
        <v>268</v>
      </c>
      <c r="F14" s="94" t="n">
        <v>3</v>
      </c>
      <c r="G14" s="94" t="n">
        <v>3</v>
      </c>
      <c r="H14" s="95" t="n">
        <f aca="false">$F14*$G14</f>
        <v>9</v>
      </c>
      <c r="I14" s="93" t="s">
        <v>278</v>
      </c>
      <c r="J14" s="93"/>
    </row>
    <row r="15" customFormat="false" ht="14.25" hidden="false" customHeight="true" outlineLevel="0" collapsed="false">
      <c r="A15" s="92" t="s">
        <v>279</v>
      </c>
      <c r="B15" s="93" t="s">
        <v>280</v>
      </c>
      <c r="C15" s="93"/>
      <c r="D15" s="93"/>
      <c r="E15" s="94" t="s">
        <v>250</v>
      </c>
      <c r="F15" s="94" t="n">
        <v>2</v>
      </c>
      <c r="G15" s="94" t="n">
        <v>2</v>
      </c>
      <c r="H15" s="95" t="n">
        <f aca="false">$F15*$G15</f>
        <v>4</v>
      </c>
      <c r="I15" s="93" t="s">
        <v>281</v>
      </c>
      <c r="J15" s="93"/>
    </row>
    <row r="16" customFormat="false" ht="14.25" hidden="false" customHeight="true" outlineLevel="0" collapsed="false">
      <c r="A16" s="96"/>
      <c r="B16" s="97"/>
      <c r="C16" s="97"/>
      <c r="D16" s="97"/>
      <c r="E16" s="95"/>
      <c r="F16" s="95"/>
      <c r="G16" s="95"/>
      <c r="H16" s="95" t="n">
        <f aca="false">$F16*$G16</f>
        <v>0</v>
      </c>
      <c r="I16" s="97"/>
      <c r="J16" s="97"/>
    </row>
    <row r="17" customFormat="false" ht="14.25" hidden="false" customHeight="true" outlineLevel="0" collapsed="false">
      <c r="A17" s="96"/>
      <c r="B17" s="97"/>
      <c r="C17" s="97"/>
      <c r="D17" s="97"/>
      <c r="E17" s="95"/>
      <c r="F17" s="95"/>
      <c r="G17" s="95"/>
      <c r="H17" s="95" t="n">
        <f aca="false">$F17*$G17</f>
        <v>0</v>
      </c>
      <c r="I17" s="97"/>
      <c r="J17" s="97"/>
    </row>
    <row r="18" customFormat="false" ht="14.25" hidden="false" customHeight="true" outlineLevel="0" collapsed="false">
      <c r="A18" s="96"/>
      <c r="B18" s="97"/>
      <c r="C18" s="97"/>
      <c r="D18" s="97"/>
      <c r="E18" s="95"/>
      <c r="F18" s="95"/>
      <c r="G18" s="95"/>
      <c r="H18" s="95" t="n">
        <f aca="false">$F18*$G18</f>
        <v>0</v>
      </c>
      <c r="I18" s="97"/>
      <c r="J18" s="97"/>
    </row>
    <row r="19" customFormat="false" ht="14.25" hidden="false" customHeight="true" outlineLevel="0" collapsed="false">
      <c r="A19" s="96"/>
      <c r="B19" s="97"/>
      <c r="C19" s="97"/>
      <c r="D19" s="97"/>
      <c r="E19" s="95"/>
      <c r="F19" s="95"/>
      <c r="G19" s="95"/>
      <c r="H19" s="95" t="n">
        <f aca="false">$F19*$G19</f>
        <v>0</v>
      </c>
      <c r="I19" s="97"/>
      <c r="J19" s="97"/>
    </row>
    <row r="20" customFormat="false" ht="14.25" hidden="false" customHeight="true" outlineLevel="0" collapsed="false">
      <c r="A20" s="96"/>
      <c r="B20" s="97"/>
      <c r="C20" s="97"/>
      <c r="D20" s="97"/>
      <c r="E20" s="95"/>
      <c r="F20" s="95"/>
      <c r="G20" s="95"/>
      <c r="H20" s="95" t="n">
        <f aca="false">$F20*$G20</f>
        <v>0</v>
      </c>
      <c r="I20" s="97"/>
      <c r="J20" s="97"/>
    </row>
    <row r="21" customFormat="false" ht="14.25" hidden="false" customHeight="true" outlineLevel="0" collapsed="false">
      <c r="A21" s="96"/>
      <c r="B21" s="97"/>
      <c r="C21" s="97"/>
      <c r="D21" s="97"/>
      <c r="E21" s="95"/>
      <c r="F21" s="95"/>
      <c r="G21" s="95"/>
      <c r="H21" s="95" t="n">
        <f aca="false">$F21*$G21</f>
        <v>0</v>
      </c>
      <c r="I21" s="97"/>
      <c r="J21" s="97"/>
    </row>
    <row r="22" customFormat="false" ht="14.25" hidden="false" customHeight="true" outlineLevel="0" collapsed="false">
      <c r="A22" s="96"/>
      <c r="B22" s="97"/>
      <c r="C22" s="97"/>
      <c r="D22" s="97"/>
      <c r="E22" s="95"/>
      <c r="F22" s="95"/>
      <c r="G22" s="95"/>
      <c r="H22" s="95" t="n">
        <f aca="false">$F22*$G22</f>
        <v>0</v>
      </c>
      <c r="I22" s="97"/>
      <c r="J22" s="97"/>
    </row>
    <row r="23" customFormat="false" ht="14.25" hidden="false" customHeight="true" outlineLevel="0" collapsed="false">
      <c r="A23" s="96"/>
      <c r="B23" s="97"/>
      <c r="C23" s="97"/>
      <c r="D23" s="97"/>
      <c r="E23" s="95"/>
      <c r="F23" s="95"/>
      <c r="G23" s="95"/>
      <c r="H23" s="95" t="n">
        <f aca="false">$F23*$G23</f>
        <v>0</v>
      </c>
      <c r="I23" s="97"/>
      <c r="J23" s="97"/>
    </row>
    <row r="24" customFormat="false" ht="14.25" hidden="false" customHeight="true" outlineLevel="0" collapsed="false">
      <c r="A24" s="96"/>
      <c r="B24" s="97"/>
      <c r="C24" s="97"/>
      <c r="D24" s="97"/>
      <c r="E24" s="95"/>
      <c r="F24" s="95"/>
      <c r="G24" s="95"/>
      <c r="H24" s="95" t="n">
        <f aca="false">$F24*$G24</f>
        <v>0</v>
      </c>
      <c r="I24" s="97"/>
      <c r="J24" s="97"/>
    </row>
    <row r="25" customFormat="false" ht="14.25" hidden="false" customHeight="true" outlineLevel="0" collapsed="false">
      <c r="A25" s="96"/>
      <c r="B25" s="97"/>
      <c r="C25" s="97"/>
      <c r="D25" s="97"/>
      <c r="E25" s="95"/>
      <c r="F25" s="95"/>
      <c r="G25" s="95"/>
      <c r="H25" s="95" t="n">
        <f aca="false">$F25*$G25</f>
        <v>0</v>
      </c>
      <c r="I25" s="97"/>
      <c r="J25" s="97"/>
    </row>
    <row r="26" customFormat="false" ht="14.25" hidden="false" customHeight="true" outlineLevel="0" collapsed="false">
      <c r="A26" s="96"/>
      <c r="B26" s="97"/>
      <c r="C26" s="97"/>
      <c r="D26" s="97"/>
      <c r="E26" s="95"/>
      <c r="F26" s="95"/>
      <c r="G26" s="95"/>
      <c r="H26" s="95" t="n">
        <f aca="false">$F26*$G26</f>
        <v>0</v>
      </c>
      <c r="I26" s="97"/>
      <c r="J26" s="97"/>
    </row>
    <row r="27" customFormat="false" ht="14.25" hidden="false" customHeight="true" outlineLevel="0" collapsed="false">
      <c r="A27" s="96"/>
      <c r="B27" s="97"/>
      <c r="C27" s="97"/>
      <c r="D27" s="97"/>
      <c r="E27" s="95"/>
      <c r="F27" s="95"/>
      <c r="G27" s="95"/>
      <c r="H27" s="95" t="n">
        <f aca="false">$F27*$G27</f>
        <v>0</v>
      </c>
      <c r="I27" s="97"/>
      <c r="J27" s="97"/>
    </row>
    <row r="28" customFormat="false" ht="14.25" hidden="false" customHeight="true" outlineLevel="0" collapsed="false">
      <c r="A28" s="96"/>
      <c r="B28" s="97"/>
      <c r="C28" s="97"/>
      <c r="D28" s="97"/>
      <c r="E28" s="95"/>
      <c r="F28" s="95"/>
      <c r="G28" s="95"/>
      <c r="H28" s="95" t="n">
        <f aca="false">$F28*$G28</f>
        <v>0</v>
      </c>
      <c r="I28" s="97"/>
      <c r="J28" s="97"/>
    </row>
    <row r="29" customFormat="false" ht="14.25" hidden="false" customHeight="true" outlineLevel="0" collapsed="false">
      <c r="A29" s="96"/>
      <c r="B29" s="97"/>
      <c r="C29" s="97"/>
      <c r="D29" s="97"/>
      <c r="E29" s="95"/>
      <c r="F29" s="95"/>
      <c r="G29" s="95"/>
      <c r="H29" s="95" t="n">
        <f aca="false">$F29*$G29</f>
        <v>0</v>
      </c>
      <c r="I29" s="97"/>
      <c r="J29" s="97"/>
    </row>
    <row r="30" customFormat="false" ht="14.25" hidden="false" customHeight="true" outlineLevel="0" collapsed="false">
      <c r="A30" s="96"/>
      <c r="B30" s="97"/>
      <c r="C30" s="97"/>
      <c r="D30" s="97"/>
      <c r="E30" s="95"/>
      <c r="F30" s="95"/>
      <c r="G30" s="95"/>
      <c r="H30" s="95" t="n">
        <f aca="false">$F30*$G30</f>
        <v>0</v>
      </c>
      <c r="I30" s="97"/>
      <c r="J30" s="97"/>
    </row>
    <row r="31" customFormat="false" ht="14.25" hidden="false" customHeight="true" outlineLevel="0" collapsed="false">
      <c r="A31" s="96"/>
      <c r="B31" s="97"/>
      <c r="C31" s="97"/>
      <c r="D31" s="97"/>
      <c r="E31" s="95"/>
      <c r="F31" s="95"/>
      <c r="G31" s="95"/>
      <c r="H31" s="95" t="n">
        <f aca="false">$F31*$G31</f>
        <v>0</v>
      </c>
      <c r="I31" s="97"/>
      <c r="J31" s="97"/>
    </row>
    <row r="32" customFormat="false" ht="14.25" hidden="false" customHeight="true" outlineLevel="0" collapsed="false">
      <c r="A32" s="96"/>
      <c r="B32" s="97"/>
      <c r="C32" s="97"/>
      <c r="D32" s="97"/>
      <c r="E32" s="95"/>
      <c r="F32" s="95"/>
      <c r="G32" s="95"/>
      <c r="H32" s="95" t="n">
        <f aca="false">$F32*$G32</f>
        <v>0</v>
      </c>
      <c r="I32" s="97"/>
      <c r="J32" s="97"/>
    </row>
    <row r="33" customFormat="false" ht="14.25" hidden="false" customHeight="true" outlineLevel="0" collapsed="false">
      <c r="A33" s="96"/>
      <c r="B33" s="97"/>
      <c r="C33" s="97"/>
      <c r="D33" s="97"/>
      <c r="E33" s="95"/>
      <c r="F33" s="95"/>
      <c r="G33" s="95"/>
      <c r="H33" s="95" t="n">
        <f aca="false">$F33*$G33</f>
        <v>0</v>
      </c>
      <c r="I33" s="97"/>
      <c r="J33" s="97"/>
    </row>
    <row r="34" customFormat="false" ht="14.25" hidden="false" customHeight="true" outlineLevel="0" collapsed="false">
      <c r="A34" s="96"/>
      <c r="B34" s="97"/>
      <c r="C34" s="97"/>
      <c r="D34" s="97"/>
      <c r="E34" s="95"/>
      <c r="F34" s="95"/>
      <c r="G34" s="95"/>
      <c r="H34" s="95" t="n">
        <f aca="false">$F34*$G34</f>
        <v>0</v>
      </c>
      <c r="I34" s="97"/>
      <c r="J34" s="97"/>
    </row>
    <row r="35" customFormat="false" ht="14.25" hidden="false" customHeight="true" outlineLevel="0" collapsed="false">
      <c r="A35" s="96"/>
      <c r="B35" s="97"/>
      <c r="C35" s="97"/>
      <c r="D35" s="97"/>
      <c r="E35" s="95"/>
      <c r="F35" s="95"/>
      <c r="G35" s="95"/>
      <c r="H35" s="95" t="n">
        <f aca="false">$F35*$G35</f>
        <v>0</v>
      </c>
      <c r="I35" s="97"/>
      <c r="J35" s="97"/>
    </row>
    <row r="36" customFormat="false" ht="14.25" hidden="false" customHeight="true" outlineLevel="0" collapsed="false">
      <c r="A36" s="96"/>
      <c r="B36" s="97"/>
      <c r="C36" s="97"/>
      <c r="D36" s="97"/>
      <c r="E36" s="95"/>
      <c r="F36" s="95"/>
      <c r="G36" s="95"/>
      <c r="H36" s="95" t="n">
        <f aca="false">$F36*$G36</f>
        <v>0</v>
      </c>
      <c r="I36" s="97"/>
      <c r="J36" s="97"/>
    </row>
    <row r="37" customFormat="false" ht="14.25" hidden="false" customHeight="true" outlineLevel="0" collapsed="false">
      <c r="A37" s="96"/>
      <c r="B37" s="97"/>
      <c r="C37" s="97"/>
      <c r="D37" s="97"/>
      <c r="E37" s="95"/>
      <c r="F37" s="95"/>
      <c r="G37" s="95"/>
      <c r="H37" s="95" t="n">
        <f aca="false">$F37*$G37</f>
        <v>0</v>
      </c>
      <c r="I37" s="97"/>
      <c r="J37" s="97"/>
    </row>
    <row r="38" customFormat="false" ht="14.25" hidden="false" customHeight="true" outlineLevel="0" collapsed="false">
      <c r="A38" s="96"/>
      <c r="B38" s="97"/>
      <c r="C38" s="97"/>
      <c r="D38" s="97"/>
      <c r="E38" s="95"/>
      <c r="F38" s="95"/>
      <c r="G38" s="95"/>
      <c r="H38" s="95" t="n">
        <f aca="false">$F38*$G38</f>
        <v>0</v>
      </c>
      <c r="I38" s="97"/>
      <c r="J38" s="97"/>
    </row>
    <row r="39" customFormat="false" ht="14.25" hidden="false" customHeight="true" outlineLevel="0" collapsed="false">
      <c r="A39" s="96"/>
      <c r="B39" s="97"/>
      <c r="C39" s="97"/>
      <c r="D39" s="97"/>
      <c r="E39" s="95"/>
      <c r="F39" s="95"/>
      <c r="G39" s="95"/>
      <c r="H39" s="95" t="n">
        <f aca="false">$F39*$G39</f>
        <v>0</v>
      </c>
      <c r="I39" s="97"/>
      <c r="J39" s="97"/>
    </row>
    <row r="40" customFormat="false" ht="14.25" hidden="false" customHeight="true" outlineLevel="0" collapsed="false"/>
    <row r="41" customFormat="false" ht="14.25" hidden="false" customHeight="true" outlineLevel="0" collapsed="false">
      <c r="A41" s="98" t="s">
        <v>246</v>
      </c>
      <c r="B41" s="99" t="s">
        <v>282</v>
      </c>
    </row>
    <row r="42" customFormat="false" ht="14.25" hidden="false" customHeight="true" outlineLevel="0" collapsed="false">
      <c r="A42" s="98" t="s">
        <v>247</v>
      </c>
      <c r="B42" s="100" t="s">
        <v>283</v>
      </c>
      <c r="C42" s="101" t="s">
        <v>284</v>
      </c>
      <c r="D42" s="101" t="s">
        <v>285</v>
      </c>
      <c r="E42" s="102" t="s">
        <v>286</v>
      </c>
    </row>
    <row r="43" customFormat="false" ht="14.25" hidden="false" customHeight="true" outlineLevel="0" collapsed="false">
      <c r="A43" s="98" t="s">
        <v>243</v>
      </c>
      <c r="B43" s="103" t="s">
        <v>250</v>
      </c>
      <c r="C43" s="104" t="s">
        <v>254</v>
      </c>
      <c r="D43" s="104" t="s">
        <v>258</v>
      </c>
      <c r="E43" s="105" t="s">
        <v>268</v>
      </c>
    </row>
  </sheetData>
  <mergeCells count="74">
    <mergeCell ref="B2:D2"/>
    <mergeCell ref="F2:G2"/>
    <mergeCell ref="H2:J2"/>
    <mergeCell ref="B3:D3"/>
    <mergeCell ref="B5:D5"/>
    <mergeCell ref="I5:J5"/>
    <mergeCell ref="B6:D6"/>
    <mergeCell ref="I6:J6"/>
    <mergeCell ref="B7:D7"/>
    <mergeCell ref="I7:J7"/>
    <mergeCell ref="B8:D8"/>
    <mergeCell ref="I8:J8"/>
    <mergeCell ref="B9:D9"/>
    <mergeCell ref="I9:J9"/>
    <mergeCell ref="B10:D10"/>
    <mergeCell ref="I10:J10"/>
    <mergeCell ref="B11:D11"/>
    <mergeCell ref="I11:J11"/>
    <mergeCell ref="B12:D12"/>
    <mergeCell ref="I12:J12"/>
    <mergeCell ref="B13:D13"/>
    <mergeCell ref="I13:J13"/>
    <mergeCell ref="B14:D14"/>
    <mergeCell ref="I14:J14"/>
    <mergeCell ref="B15:D15"/>
    <mergeCell ref="I15:J15"/>
    <mergeCell ref="B16:D16"/>
    <mergeCell ref="I16:J16"/>
    <mergeCell ref="B17:D17"/>
    <mergeCell ref="I17:J17"/>
    <mergeCell ref="B18:D18"/>
    <mergeCell ref="I18:J18"/>
    <mergeCell ref="B19:D19"/>
    <mergeCell ref="I19:J19"/>
    <mergeCell ref="B20:D20"/>
    <mergeCell ref="I20:J20"/>
    <mergeCell ref="B21:D21"/>
    <mergeCell ref="I21:J21"/>
    <mergeCell ref="B22:D22"/>
    <mergeCell ref="I22:J22"/>
    <mergeCell ref="B23:D23"/>
    <mergeCell ref="I23:J23"/>
    <mergeCell ref="B24:D24"/>
    <mergeCell ref="I24:J24"/>
    <mergeCell ref="B25:D25"/>
    <mergeCell ref="I25:J25"/>
    <mergeCell ref="B26:D26"/>
    <mergeCell ref="I26:J26"/>
    <mergeCell ref="B27:D27"/>
    <mergeCell ref="I27:J27"/>
    <mergeCell ref="B28:D28"/>
    <mergeCell ref="I28:J28"/>
    <mergeCell ref="B29:D29"/>
    <mergeCell ref="I29:J29"/>
    <mergeCell ref="B30:D30"/>
    <mergeCell ref="I30:J30"/>
    <mergeCell ref="B31:D31"/>
    <mergeCell ref="I31:J31"/>
    <mergeCell ref="B32:D32"/>
    <mergeCell ref="I32:J32"/>
    <mergeCell ref="B33:D33"/>
    <mergeCell ref="I33:J33"/>
    <mergeCell ref="B34:D34"/>
    <mergeCell ref="I34:J34"/>
    <mergeCell ref="B35:D35"/>
    <mergeCell ref="I35:J35"/>
    <mergeCell ref="B36:D36"/>
    <mergeCell ref="I36:J36"/>
    <mergeCell ref="B37:D37"/>
    <mergeCell ref="I37:J37"/>
    <mergeCell ref="B38:D38"/>
    <mergeCell ref="I38:J38"/>
    <mergeCell ref="B39:D39"/>
    <mergeCell ref="I39:J39"/>
  </mergeCells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&amp;L&amp;"Aptos Narrow,Bold"RISK REGISTER&amp;COhioma Eboreime PhD. P.E.&amp;RV1.0</oddHeader>
    <oddFooter>&amp;LDate: 07.09.2026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37" colorId="64" zoomScale="85" zoomScaleNormal="85" zoomScalePageLayoutView="100" workbookViewId="0">
      <selection pane="topLeft" activeCell="A2" activeCellId="0" sqref="A2"/>
    </sheetView>
  </sheetViews>
  <sheetFormatPr defaultColWidth="8.84375" defaultRowHeight="14.25" zeroHeight="false" outlineLevelRow="0" outlineLevelCol="0"/>
  <cols>
    <col collapsed="false" customWidth="true" hidden="false" outlineLevel="0" max="1" min="1" style="1" width="10.58"/>
    <col collapsed="false" customWidth="true" hidden="false" outlineLevel="0" max="2" min="2" style="1" width="9.79"/>
    <col collapsed="false" customWidth="false" hidden="false" outlineLevel="0" max="16384" min="3" style="1" width="8.84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45" t="s">
        <v>133</v>
      </c>
      <c r="B2" s="46" t="s">
        <v>287</v>
      </c>
      <c r="C2" s="46"/>
      <c r="D2" s="46"/>
    </row>
    <row r="3" customFormat="false" ht="14.25" hidden="false" customHeight="true" outlineLevel="0" collapsed="false">
      <c r="A3" s="45" t="s">
        <v>288</v>
      </c>
      <c r="B3" s="6" t="s">
        <v>289</v>
      </c>
      <c r="C3" s="6"/>
      <c r="D3" s="6"/>
      <c r="E3" s="106" t="s">
        <v>290</v>
      </c>
      <c r="F3" s="107" t="s">
        <v>168</v>
      </c>
      <c r="G3" s="17"/>
      <c r="H3" s="11"/>
      <c r="I3" s="12"/>
    </row>
    <row r="4" customFormat="false" ht="14.25" hidden="false" customHeight="true" outlineLevel="0" collapsed="false"/>
    <row r="5" customFormat="false" ht="14.25" hidden="false" customHeight="true" outlineLevel="0" collapsed="false">
      <c r="A5" s="90" t="s">
        <v>291</v>
      </c>
      <c r="B5" s="91" t="s">
        <v>292</v>
      </c>
      <c r="C5" s="27" t="s">
        <v>293</v>
      </c>
      <c r="E5" s="108" t="s">
        <v>294</v>
      </c>
      <c r="F5" s="108"/>
      <c r="G5" s="108"/>
      <c r="H5" s="108"/>
      <c r="I5" s="108"/>
    </row>
    <row r="6" customFormat="false" ht="216.4" hidden="false" customHeight="false" outlineLevel="0" collapsed="false">
      <c r="A6" s="109" t="n">
        <v>1</v>
      </c>
      <c r="B6" s="110" t="n">
        <v>1</v>
      </c>
      <c r="C6" s="111" t="n">
        <v>1</v>
      </c>
      <c r="E6" s="112" t="s">
        <v>295</v>
      </c>
      <c r="F6" s="113"/>
      <c r="G6" s="113"/>
      <c r="H6" s="113"/>
      <c r="I6" s="113"/>
    </row>
    <row r="7" customFormat="false" ht="14.25" hidden="false" customHeight="false" outlineLevel="0" collapsed="false">
      <c r="A7" s="114" t="n">
        <v>2</v>
      </c>
      <c r="B7" s="115" t="n">
        <f aca="false">$B6-($B6/((COUNT($A6:$A21))-1))</f>
        <v>0.933333333333333</v>
      </c>
      <c r="C7" s="116"/>
      <c r="E7" s="79"/>
      <c r="F7" s="41"/>
      <c r="G7" s="41"/>
      <c r="H7" s="41"/>
      <c r="I7" s="41"/>
    </row>
    <row r="8" customFormat="false" ht="14.25" hidden="false" customHeight="false" outlineLevel="0" collapsed="false">
      <c r="A8" s="114" t="n">
        <v>3</v>
      </c>
      <c r="B8" s="115" t="n">
        <f aca="false">$B7-($B7/((COUNT($A7:$A22))-1))</f>
        <v>0.866666666666667</v>
      </c>
      <c r="C8" s="116"/>
      <c r="E8" s="79"/>
      <c r="F8" s="41"/>
      <c r="G8" s="41"/>
      <c r="H8" s="41"/>
      <c r="I8" s="41"/>
    </row>
    <row r="9" customFormat="false" ht="14.25" hidden="false" customHeight="false" outlineLevel="0" collapsed="false">
      <c r="A9" s="114" t="n">
        <v>4</v>
      </c>
      <c r="B9" s="115" t="n">
        <f aca="false">$B8-($B8/((COUNT($A8:$A23))-1))</f>
        <v>0.8</v>
      </c>
      <c r="C9" s="116"/>
      <c r="E9" s="79"/>
      <c r="F9" s="41"/>
      <c r="G9" s="41"/>
      <c r="H9" s="41"/>
      <c r="I9" s="41"/>
    </row>
    <row r="10" customFormat="false" ht="14.25" hidden="false" customHeight="false" outlineLevel="0" collapsed="false">
      <c r="A10" s="114" t="n">
        <v>5</v>
      </c>
      <c r="B10" s="115" t="n">
        <f aca="false">$B9-($B9/((COUNT($A9:$A24))-1))</f>
        <v>0.733333333333333</v>
      </c>
      <c r="C10" s="116"/>
      <c r="E10" s="79"/>
      <c r="F10" s="41"/>
      <c r="G10" s="41"/>
      <c r="H10" s="41"/>
      <c r="I10" s="41"/>
    </row>
    <row r="11" customFormat="false" ht="14.25" hidden="false" customHeight="false" outlineLevel="0" collapsed="false">
      <c r="A11" s="114" t="n">
        <v>6</v>
      </c>
      <c r="B11" s="115" t="n">
        <f aca="false">$B10-($B10/((COUNT($A10:$A25))-1))</f>
        <v>0.666666666666667</v>
      </c>
      <c r="C11" s="116"/>
      <c r="E11" s="79"/>
      <c r="F11" s="41"/>
      <c r="G11" s="41"/>
      <c r="H11" s="41"/>
      <c r="I11" s="41"/>
    </row>
    <row r="12" customFormat="false" ht="14.25" hidden="false" customHeight="false" outlineLevel="0" collapsed="false">
      <c r="A12" s="114" t="n">
        <v>7</v>
      </c>
      <c r="B12" s="115" t="n">
        <f aca="false">$B11-($B11/((COUNT($A11:$A26))-1))</f>
        <v>0.6</v>
      </c>
      <c r="C12" s="116"/>
      <c r="E12" s="79"/>
      <c r="F12" s="41"/>
      <c r="G12" s="41"/>
      <c r="H12" s="41"/>
      <c r="I12" s="41"/>
    </row>
    <row r="13" customFormat="false" ht="14.25" hidden="false" customHeight="false" outlineLevel="0" collapsed="false">
      <c r="A13" s="114" t="n">
        <v>8</v>
      </c>
      <c r="B13" s="115" t="n">
        <f aca="false">$B12-($B12/((COUNT($A12:$A27))-1))</f>
        <v>0.533333333333333</v>
      </c>
      <c r="C13" s="116"/>
      <c r="E13" s="79"/>
      <c r="F13" s="41"/>
      <c r="G13" s="41"/>
      <c r="H13" s="41"/>
      <c r="I13" s="41"/>
    </row>
    <row r="14" customFormat="false" ht="14.25" hidden="false" customHeight="false" outlineLevel="0" collapsed="false">
      <c r="A14" s="114" t="n">
        <v>9</v>
      </c>
      <c r="B14" s="115" t="n">
        <f aca="false">$B13-($B13/((COUNT($A13:$A28))-1))</f>
        <v>0.466666666666667</v>
      </c>
      <c r="C14" s="116"/>
      <c r="E14" s="79"/>
      <c r="F14" s="41"/>
      <c r="G14" s="41"/>
      <c r="H14" s="41"/>
      <c r="I14" s="41"/>
    </row>
    <row r="15" customFormat="false" ht="14.25" hidden="false" customHeight="false" outlineLevel="0" collapsed="false">
      <c r="A15" s="114" t="n">
        <v>10</v>
      </c>
      <c r="B15" s="115" t="n">
        <f aca="false">$B14-($B14/((COUNT($A14:$A29))-1))</f>
        <v>0.4</v>
      </c>
      <c r="C15" s="116"/>
      <c r="E15" s="79"/>
      <c r="F15" s="41"/>
      <c r="G15" s="41"/>
      <c r="H15" s="41"/>
      <c r="I15" s="41"/>
    </row>
    <row r="16" customFormat="false" ht="14.25" hidden="false" customHeight="false" outlineLevel="0" collapsed="false">
      <c r="A16" s="114" t="n">
        <v>11</v>
      </c>
      <c r="B16" s="115" t="n">
        <f aca="false">$B15-($B15/((COUNT($A15:$A30))-1))</f>
        <v>0.333333333333333</v>
      </c>
      <c r="C16" s="116"/>
      <c r="E16" s="79"/>
      <c r="F16" s="41"/>
      <c r="G16" s="41"/>
      <c r="H16" s="41"/>
      <c r="I16" s="41"/>
    </row>
    <row r="17" customFormat="false" ht="14.25" hidden="false" customHeight="false" outlineLevel="0" collapsed="false">
      <c r="A17" s="114" t="n">
        <v>12</v>
      </c>
      <c r="B17" s="115" t="n">
        <f aca="false">$B16-($B16/((COUNT($A16:$A31))-1))</f>
        <v>0.266666666666667</v>
      </c>
      <c r="C17" s="116"/>
      <c r="E17" s="79"/>
      <c r="F17" s="41"/>
      <c r="G17" s="41"/>
      <c r="H17" s="41"/>
      <c r="I17" s="41"/>
    </row>
    <row r="18" customFormat="false" ht="14.25" hidden="false" customHeight="false" outlineLevel="0" collapsed="false">
      <c r="A18" s="114" t="n">
        <v>13</v>
      </c>
      <c r="B18" s="115" t="n">
        <f aca="false">$B17-($B17/((COUNT($A17:$A32))-1))</f>
        <v>0.2</v>
      </c>
      <c r="C18" s="116"/>
      <c r="E18" s="79"/>
      <c r="F18" s="41"/>
      <c r="G18" s="41"/>
      <c r="H18" s="41"/>
      <c r="I18" s="41"/>
    </row>
    <row r="19" customFormat="false" ht="14.25" hidden="false" customHeight="false" outlineLevel="0" collapsed="false">
      <c r="A19" s="114" t="n">
        <v>14</v>
      </c>
      <c r="B19" s="115" t="n">
        <f aca="false">$B18-($B18/((COUNT($A18:$A33))-1))</f>
        <v>0.133333333333333</v>
      </c>
      <c r="C19" s="116"/>
      <c r="E19" s="79"/>
      <c r="F19" s="41"/>
      <c r="G19" s="41"/>
      <c r="H19" s="41"/>
      <c r="I19" s="41"/>
    </row>
    <row r="20" customFormat="false" ht="14.25" hidden="false" customHeight="true" outlineLevel="0" collapsed="false">
      <c r="A20" s="114" t="n">
        <v>15</v>
      </c>
      <c r="B20" s="115" t="n">
        <f aca="false">$B19-($B19/((COUNT($A19:$A34))-1))</f>
        <v>0.0666666666666667</v>
      </c>
      <c r="C20" s="116"/>
      <c r="E20" s="82"/>
      <c r="F20" s="38"/>
      <c r="G20" s="38"/>
      <c r="H20" s="38"/>
      <c r="I20" s="38"/>
    </row>
    <row r="21" customFormat="false" ht="14.25" hidden="false" customHeight="true" outlineLevel="0" collapsed="false">
      <c r="A21" s="117" t="n">
        <v>16</v>
      </c>
      <c r="B21" s="118" t="n">
        <f aca="false">$B20-($B20/((COUNT($A20:$A35))-1))</f>
        <v>0</v>
      </c>
      <c r="C21" s="119"/>
      <c r="F21" s="120"/>
      <c r="G21" s="120"/>
      <c r="H21" s="120"/>
      <c r="I21" s="120"/>
    </row>
  </sheetData>
  <mergeCells count="19">
    <mergeCell ref="B2:D2"/>
    <mergeCell ref="B3:D3"/>
    <mergeCell ref="E5:I5"/>
    <mergeCell ref="F6:I6"/>
    <mergeCell ref="F7:I7"/>
    <mergeCell ref="F8:I8"/>
    <mergeCell ref="F9:I9"/>
    <mergeCell ref="F10:I10"/>
    <mergeCell ref="F11:I11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</mergeCells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&amp;L&amp;"Aptos Narrow,Bold"BURNDOWN CHART&amp;COhioma Eboreime PhD. P.E.&amp;RV1.0</oddHeader>
    <oddFooter>&amp;LDate: 07.09.2026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22" colorId="64" zoomScale="85" zoomScaleNormal="85" zoomScalePageLayoutView="100" workbookViewId="0">
      <selection pane="topLeft" activeCell="A1" activeCellId="0" sqref="A1"/>
    </sheetView>
  </sheetViews>
  <sheetFormatPr defaultColWidth="8.84375" defaultRowHeight="14.25" zeroHeight="false" outlineLevelRow="0" outlineLevelCol="0"/>
  <cols>
    <col collapsed="false" customWidth="false" hidden="false" outlineLevel="0" max="16384" min="1" style="1" width="8.84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45" t="s">
        <v>133</v>
      </c>
      <c r="B2" s="46" t="s">
        <v>134</v>
      </c>
      <c r="C2" s="46"/>
      <c r="D2" s="46"/>
      <c r="F2" s="121" t="s">
        <v>296</v>
      </c>
      <c r="G2" s="6" t="s">
        <v>297</v>
      </c>
      <c r="H2" s="6"/>
      <c r="I2" s="6"/>
      <c r="J2" s="6"/>
    </row>
    <row r="3" customFormat="false" ht="14.25" hidden="false" customHeight="true" outlineLevel="0" collapsed="false">
      <c r="A3" s="45" t="s">
        <v>137</v>
      </c>
      <c r="B3" s="6" t="s">
        <v>52</v>
      </c>
      <c r="C3" s="6"/>
      <c r="D3" s="6"/>
    </row>
    <row r="4" customFormat="false" ht="14.25" hidden="false" customHeight="true" outlineLevel="0" collapsed="false"/>
    <row r="5" customFormat="false" ht="14.25" hidden="false" customHeight="true" outlineLevel="0" collapsed="false">
      <c r="A5" s="122" t="s">
        <v>298</v>
      </c>
      <c r="B5" s="123" t="s">
        <v>299</v>
      </c>
      <c r="C5" s="124"/>
      <c r="D5" s="125" t="s">
        <v>300</v>
      </c>
      <c r="F5" s="124"/>
      <c r="G5" s="126" t="s">
        <v>301</v>
      </c>
      <c r="I5" s="124"/>
      <c r="J5" s="127" t="s">
        <v>302</v>
      </c>
    </row>
    <row r="6" customFormat="false" ht="14.25" hidden="false" customHeight="true" outlineLevel="0" collapsed="false"/>
    <row r="7" customFormat="false" ht="41.75" hidden="false" customHeight="true" outlineLevel="0" collapsed="false">
      <c r="A7" s="128" t="s">
        <v>144</v>
      </c>
      <c r="B7" s="128"/>
      <c r="C7" s="129" t="s">
        <v>303</v>
      </c>
      <c r="D7" s="129"/>
      <c r="E7" s="129"/>
      <c r="F7" s="129"/>
      <c r="G7" s="129"/>
      <c r="H7" s="129"/>
      <c r="I7" s="129"/>
      <c r="J7" s="129"/>
    </row>
    <row r="8" customFormat="false" ht="28.35" hidden="false" customHeight="true" outlineLevel="0" collapsed="false">
      <c r="A8" s="128"/>
      <c r="B8" s="128"/>
      <c r="C8" s="130" t="s">
        <v>304</v>
      </c>
      <c r="D8" s="130"/>
      <c r="E8" s="130"/>
      <c r="F8" s="130"/>
      <c r="G8" s="130"/>
      <c r="H8" s="130"/>
      <c r="I8" s="130"/>
      <c r="J8" s="130"/>
    </row>
    <row r="9" customFormat="false" ht="28.35" hidden="false" customHeight="true" outlineLevel="0" collapsed="false">
      <c r="A9" s="128"/>
      <c r="B9" s="128"/>
      <c r="C9" s="130" t="s">
        <v>305</v>
      </c>
      <c r="D9" s="130"/>
      <c r="E9" s="130"/>
      <c r="F9" s="130"/>
      <c r="G9" s="130"/>
      <c r="H9" s="130"/>
      <c r="I9" s="130"/>
      <c r="J9" s="130"/>
    </row>
    <row r="10" customFormat="false" ht="28.35" hidden="false" customHeight="true" outlineLevel="0" collapsed="false">
      <c r="A10" s="128"/>
      <c r="B10" s="128"/>
      <c r="C10" s="130" t="s">
        <v>306</v>
      </c>
      <c r="D10" s="130"/>
      <c r="E10" s="130"/>
      <c r="F10" s="130"/>
      <c r="G10" s="130"/>
      <c r="H10" s="130"/>
      <c r="I10" s="130"/>
      <c r="J10" s="130"/>
    </row>
    <row r="11" customFormat="false" ht="14.25" hidden="false" customHeight="false" outlineLevel="0" collapsed="false">
      <c r="A11" s="128"/>
      <c r="B11" s="128"/>
      <c r="C11" s="42"/>
      <c r="D11" s="42"/>
      <c r="E11" s="42"/>
      <c r="F11" s="42"/>
      <c r="G11" s="42"/>
      <c r="H11" s="42"/>
      <c r="I11" s="42"/>
      <c r="J11" s="42"/>
    </row>
    <row r="12" customFormat="false" ht="14.25" hidden="false" customHeight="true" outlineLevel="0" collapsed="false">
      <c r="A12" s="128"/>
      <c r="B12" s="128"/>
      <c r="C12" s="39"/>
      <c r="D12" s="39"/>
      <c r="E12" s="39"/>
      <c r="F12" s="39"/>
      <c r="G12" s="39"/>
      <c r="H12" s="39"/>
      <c r="I12" s="39"/>
      <c r="J12" s="39"/>
    </row>
    <row r="13" customFormat="false" ht="14.25" hidden="false" customHeight="true" outlineLevel="0" collapsed="false"/>
    <row r="14" customFormat="false" ht="14.25" hidden="false" customHeight="true" outlineLevel="0" collapsed="false">
      <c r="A14" s="128" t="s">
        <v>307</v>
      </c>
      <c r="B14" s="128"/>
      <c r="C14" s="129" t="s">
        <v>308</v>
      </c>
      <c r="D14" s="129"/>
      <c r="E14" s="129"/>
      <c r="F14" s="129"/>
      <c r="G14" s="129"/>
      <c r="H14" s="129"/>
      <c r="I14" s="129"/>
      <c r="J14" s="129"/>
    </row>
    <row r="15" customFormat="false" ht="14.25" hidden="false" customHeight="true" outlineLevel="0" collapsed="false">
      <c r="A15" s="128"/>
      <c r="B15" s="128"/>
      <c r="C15" s="130" t="s">
        <v>309</v>
      </c>
      <c r="D15" s="130"/>
      <c r="E15" s="130"/>
      <c r="F15" s="130"/>
      <c r="G15" s="130"/>
      <c r="H15" s="130"/>
      <c r="I15" s="130"/>
      <c r="J15" s="130"/>
    </row>
    <row r="16" customFormat="false" ht="14.25" hidden="false" customHeight="true" outlineLevel="0" collapsed="false">
      <c r="A16" s="128"/>
      <c r="B16" s="128"/>
      <c r="C16" s="130" t="s">
        <v>310</v>
      </c>
      <c r="D16" s="130"/>
      <c r="E16" s="130"/>
      <c r="F16" s="130"/>
      <c r="G16" s="130"/>
      <c r="H16" s="130"/>
      <c r="I16" s="130"/>
      <c r="J16" s="130"/>
    </row>
    <row r="17" customFormat="false" ht="14.25" hidden="false" customHeight="true" outlineLevel="0" collapsed="false">
      <c r="A17" s="128"/>
      <c r="B17" s="128"/>
      <c r="C17" s="130" t="s">
        <v>311</v>
      </c>
      <c r="D17" s="130"/>
      <c r="E17" s="130"/>
      <c r="F17" s="130"/>
      <c r="G17" s="130"/>
      <c r="H17" s="130"/>
      <c r="I17" s="130"/>
      <c r="J17" s="130"/>
    </row>
    <row r="18" customFormat="false" ht="14.25" hidden="false" customHeight="true" outlineLevel="0" collapsed="false">
      <c r="A18" s="128"/>
      <c r="B18" s="128"/>
      <c r="C18" s="130" t="s">
        <v>312</v>
      </c>
      <c r="D18" s="130"/>
      <c r="E18" s="130"/>
      <c r="F18" s="130"/>
      <c r="G18" s="130"/>
      <c r="H18" s="130"/>
      <c r="I18" s="130"/>
      <c r="J18" s="130"/>
    </row>
    <row r="19" customFormat="false" ht="14.25" hidden="false" customHeight="true" outlineLevel="0" collapsed="false">
      <c r="A19" s="128"/>
      <c r="B19" s="128"/>
      <c r="C19" s="131" t="s">
        <v>313</v>
      </c>
      <c r="D19" s="131"/>
      <c r="E19" s="131"/>
      <c r="F19" s="131"/>
      <c r="G19" s="131"/>
      <c r="H19" s="131"/>
      <c r="I19" s="131"/>
      <c r="J19" s="131"/>
    </row>
    <row r="20" customFormat="false" ht="14.25" hidden="false" customHeight="true" outlineLevel="0" collapsed="false"/>
    <row r="21" customFormat="false" ht="14.25" hidden="false" customHeight="true" outlineLevel="0" collapsed="false">
      <c r="A21" s="128" t="s">
        <v>314</v>
      </c>
      <c r="B21" s="128"/>
      <c r="C21" s="129" t="s">
        <v>315</v>
      </c>
      <c r="D21" s="129"/>
      <c r="E21" s="129"/>
      <c r="F21" s="129"/>
      <c r="G21" s="129"/>
      <c r="H21" s="129"/>
      <c r="I21" s="129"/>
      <c r="J21" s="129"/>
    </row>
    <row r="22" customFormat="false" ht="14.25" hidden="false" customHeight="true" outlineLevel="0" collapsed="false">
      <c r="A22" s="128"/>
      <c r="B22" s="128"/>
      <c r="C22" s="130" t="s">
        <v>316</v>
      </c>
      <c r="D22" s="130"/>
      <c r="E22" s="130"/>
      <c r="F22" s="130"/>
      <c r="G22" s="130"/>
      <c r="H22" s="130"/>
      <c r="I22" s="130"/>
      <c r="J22" s="130"/>
    </row>
    <row r="23" customFormat="false" ht="14.25" hidden="false" customHeight="true" outlineLevel="0" collapsed="false">
      <c r="A23" s="128"/>
      <c r="B23" s="128"/>
      <c r="C23" s="130" t="s">
        <v>317</v>
      </c>
      <c r="D23" s="130"/>
      <c r="E23" s="130"/>
      <c r="F23" s="130"/>
      <c r="G23" s="130"/>
      <c r="H23" s="130"/>
      <c r="I23" s="130"/>
      <c r="J23" s="130"/>
    </row>
    <row r="24" customFormat="false" ht="14.25" hidden="false" customHeight="true" outlineLevel="0" collapsed="false">
      <c r="A24" s="128"/>
      <c r="B24" s="128"/>
      <c r="C24" s="130" t="s">
        <v>318</v>
      </c>
      <c r="D24" s="130"/>
      <c r="E24" s="130"/>
      <c r="F24" s="130"/>
      <c r="G24" s="130"/>
      <c r="H24" s="130"/>
      <c r="I24" s="130"/>
      <c r="J24" s="130"/>
    </row>
    <row r="25" customFormat="false" ht="14.25" hidden="false" customHeight="false" outlineLevel="0" collapsed="false">
      <c r="A25" s="128"/>
      <c r="B25" s="128"/>
      <c r="C25" s="42"/>
      <c r="D25" s="42"/>
      <c r="E25" s="42"/>
      <c r="F25" s="42"/>
      <c r="G25" s="42"/>
      <c r="H25" s="42"/>
      <c r="I25" s="42"/>
      <c r="J25" s="42"/>
    </row>
    <row r="26" customFormat="false" ht="14.25" hidden="false" customHeight="true" outlineLevel="0" collapsed="false">
      <c r="A26" s="128"/>
      <c r="B26" s="128"/>
      <c r="C26" s="39"/>
      <c r="D26" s="39"/>
      <c r="E26" s="39"/>
      <c r="F26" s="39"/>
      <c r="G26" s="39"/>
      <c r="H26" s="39"/>
      <c r="I26" s="39"/>
      <c r="J26" s="39"/>
    </row>
    <row r="27" customFormat="false" ht="14.25" hidden="false" customHeight="true" outlineLevel="0" collapsed="false"/>
    <row r="28" customFormat="false" ht="28.35" hidden="false" customHeight="true" outlineLevel="0" collapsed="false">
      <c r="A28" s="128" t="s">
        <v>319</v>
      </c>
      <c r="B28" s="128"/>
      <c r="C28" s="129" t="s">
        <v>320</v>
      </c>
      <c r="D28" s="129"/>
      <c r="E28" s="129"/>
      <c r="F28" s="129"/>
      <c r="G28" s="129"/>
      <c r="H28" s="129"/>
      <c r="I28" s="129"/>
      <c r="J28" s="129"/>
    </row>
    <row r="29" customFormat="false" ht="14.25" hidden="false" customHeight="true" outlineLevel="0" collapsed="false">
      <c r="A29" s="128"/>
      <c r="B29" s="128"/>
      <c r="C29" s="130" t="s">
        <v>321</v>
      </c>
      <c r="D29" s="130"/>
      <c r="E29" s="130"/>
      <c r="F29" s="130"/>
      <c r="G29" s="130"/>
      <c r="H29" s="130"/>
      <c r="I29" s="130"/>
      <c r="J29" s="130"/>
    </row>
    <row r="30" customFormat="false" ht="14.25" hidden="false" customHeight="false" outlineLevel="0" collapsed="false">
      <c r="A30" s="128"/>
      <c r="B30" s="128"/>
      <c r="C30" s="42"/>
      <c r="D30" s="42"/>
      <c r="E30" s="42"/>
      <c r="F30" s="42"/>
      <c r="G30" s="42"/>
      <c r="H30" s="42"/>
      <c r="I30" s="42"/>
      <c r="J30" s="42"/>
    </row>
    <row r="31" customFormat="false" ht="14.25" hidden="false" customHeight="false" outlineLevel="0" collapsed="false">
      <c r="A31" s="128"/>
      <c r="B31" s="128"/>
      <c r="C31" s="42"/>
      <c r="D31" s="42"/>
      <c r="E31" s="42"/>
      <c r="F31" s="42"/>
      <c r="G31" s="42"/>
      <c r="H31" s="42"/>
      <c r="I31" s="42"/>
      <c r="J31" s="42"/>
    </row>
    <row r="32" customFormat="false" ht="14.25" hidden="false" customHeight="false" outlineLevel="0" collapsed="false">
      <c r="A32" s="128"/>
      <c r="B32" s="128"/>
      <c r="C32" s="42"/>
      <c r="D32" s="42"/>
      <c r="E32" s="42"/>
      <c r="F32" s="42"/>
      <c r="G32" s="42"/>
      <c r="H32" s="42"/>
      <c r="I32" s="42"/>
      <c r="J32" s="42"/>
    </row>
    <row r="33" customFormat="false" ht="14.25" hidden="false" customHeight="true" outlineLevel="0" collapsed="false">
      <c r="A33" s="128"/>
      <c r="B33" s="128"/>
      <c r="C33" s="39"/>
      <c r="D33" s="39"/>
      <c r="E33" s="39"/>
      <c r="F33" s="39"/>
      <c r="G33" s="39"/>
      <c r="H33" s="39"/>
      <c r="I33" s="39"/>
      <c r="J33" s="39"/>
    </row>
    <row r="35" customFormat="false" ht="14.25" hidden="false" customHeight="true" outlineLevel="0" collapsed="false"/>
    <row r="36" customFormat="false" ht="14.25" hidden="false" customHeight="true" outlineLevel="0" collapsed="false">
      <c r="A36" s="90" t="s">
        <v>322</v>
      </c>
      <c r="B36" s="90"/>
      <c r="C36" s="90"/>
      <c r="D36" s="90"/>
      <c r="E36" s="90"/>
      <c r="F36" s="90"/>
      <c r="G36" s="90"/>
      <c r="H36" s="91" t="s">
        <v>323</v>
      </c>
      <c r="I36" s="91" t="s">
        <v>144</v>
      </c>
      <c r="J36" s="91"/>
    </row>
    <row r="37" customFormat="false" ht="14.25" hidden="false" customHeight="true" outlineLevel="0" collapsed="false">
      <c r="A37" s="132" t="s">
        <v>20</v>
      </c>
      <c r="B37" s="132"/>
      <c r="C37" s="132"/>
      <c r="D37" s="132"/>
      <c r="E37" s="132"/>
      <c r="F37" s="132"/>
      <c r="G37" s="132"/>
      <c r="H37" s="94" t="s">
        <v>164</v>
      </c>
      <c r="I37" s="133" t="s">
        <v>165</v>
      </c>
      <c r="J37" s="133"/>
    </row>
    <row r="38" customFormat="false" ht="14.25" hidden="false" customHeight="true" outlineLevel="0" collapsed="false">
      <c r="A38" s="132" t="s">
        <v>324</v>
      </c>
      <c r="B38" s="132"/>
      <c r="C38" s="132"/>
      <c r="D38" s="132"/>
      <c r="E38" s="132"/>
      <c r="F38" s="132"/>
      <c r="G38" s="132"/>
      <c r="H38" s="94" t="s">
        <v>168</v>
      </c>
      <c r="I38" s="134" t="s">
        <v>301</v>
      </c>
      <c r="J38" s="134"/>
    </row>
    <row r="39" customFormat="false" ht="14.25" hidden="false" customHeight="true" outlineLevel="0" collapsed="false">
      <c r="A39" s="132" t="s">
        <v>325</v>
      </c>
      <c r="B39" s="132"/>
      <c r="C39" s="132"/>
      <c r="D39" s="132"/>
      <c r="E39" s="132"/>
      <c r="F39" s="132"/>
      <c r="G39" s="132"/>
      <c r="H39" s="94" t="s">
        <v>168</v>
      </c>
      <c r="I39" s="135" t="s">
        <v>300</v>
      </c>
      <c r="J39" s="135"/>
    </row>
    <row r="40" customFormat="false" ht="14.25" hidden="false" customHeight="true" outlineLevel="0" collapsed="false">
      <c r="A40" s="132" t="s">
        <v>326</v>
      </c>
      <c r="B40" s="132"/>
      <c r="C40" s="132"/>
      <c r="D40" s="132"/>
      <c r="E40" s="132"/>
      <c r="F40" s="132"/>
      <c r="G40" s="132"/>
      <c r="H40" s="94" t="s">
        <v>168</v>
      </c>
      <c r="I40" s="135" t="s">
        <v>300</v>
      </c>
      <c r="J40" s="135"/>
    </row>
    <row r="41" customFormat="false" ht="14.25" hidden="false" customHeight="true" outlineLevel="0" collapsed="false">
      <c r="A41" s="132" t="s">
        <v>327</v>
      </c>
      <c r="B41" s="132"/>
      <c r="C41" s="132"/>
      <c r="D41" s="132"/>
      <c r="E41" s="132"/>
      <c r="F41" s="132"/>
      <c r="G41" s="132"/>
      <c r="H41" s="94" t="s">
        <v>168</v>
      </c>
      <c r="I41" s="134" t="s">
        <v>301</v>
      </c>
      <c r="J41" s="134"/>
    </row>
    <row r="42" customFormat="false" ht="14.25" hidden="false" customHeight="true" outlineLevel="0" collapsed="false">
      <c r="A42" s="96"/>
      <c r="B42" s="96"/>
      <c r="C42" s="96"/>
      <c r="D42" s="96"/>
      <c r="E42" s="96"/>
      <c r="F42" s="96"/>
      <c r="G42" s="96"/>
      <c r="H42" s="95"/>
      <c r="I42" s="97"/>
      <c r="J42" s="97"/>
    </row>
    <row r="43" customFormat="false" ht="14.25" hidden="false" customHeight="true" outlineLevel="0" collapsed="false">
      <c r="A43" s="96"/>
      <c r="B43" s="96"/>
      <c r="C43" s="96"/>
      <c r="D43" s="96"/>
      <c r="E43" s="96"/>
      <c r="F43" s="96"/>
      <c r="G43" s="96"/>
      <c r="H43" s="95"/>
      <c r="I43" s="97"/>
      <c r="J43" s="97"/>
    </row>
  </sheetData>
  <mergeCells count="47">
    <mergeCell ref="B2:D2"/>
    <mergeCell ref="G2:J2"/>
    <mergeCell ref="B3:D3"/>
    <mergeCell ref="A7:B12"/>
    <mergeCell ref="C7:J7"/>
    <mergeCell ref="C8:J8"/>
    <mergeCell ref="C9:J9"/>
    <mergeCell ref="C10:J10"/>
    <mergeCell ref="C11:J11"/>
    <mergeCell ref="C12:J12"/>
    <mergeCell ref="A14:B19"/>
    <mergeCell ref="C14:J14"/>
    <mergeCell ref="C15:J15"/>
    <mergeCell ref="C16:J16"/>
    <mergeCell ref="C17:J17"/>
    <mergeCell ref="C18:J18"/>
    <mergeCell ref="C19:J19"/>
    <mergeCell ref="A21:B26"/>
    <mergeCell ref="C21:J21"/>
    <mergeCell ref="C22:J22"/>
    <mergeCell ref="C23:J23"/>
    <mergeCell ref="C24:J24"/>
    <mergeCell ref="C25:J25"/>
    <mergeCell ref="C26:J26"/>
    <mergeCell ref="A28:B33"/>
    <mergeCell ref="C28:J28"/>
    <mergeCell ref="C29:J29"/>
    <mergeCell ref="C30:J30"/>
    <mergeCell ref="C31:J31"/>
    <mergeCell ref="C32:J32"/>
    <mergeCell ref="C33:J33"/>
    <mergeCell ref="A36:G36"/>
    <mergeCell ref="I36:J36"/>
    <mergeCell ref="A37:G37"/>
    <mergeCell ref="I37:J37"/>
    <mergeCell ref="A38:G38"/>
    <mergeCell ref="I38:J38"/>
    <mergeCell ref="A39:G39"/>
    <mergeCell ref="I39:J39"/>
    <mergeCell ref="A40:G40"/>
    <mergeCell ref="I40:J40"/>
    <mergeCell ref="A41:G41"/>
    <mergeCell ref="I41:J41"/>
    <mergeCell ref="A42:G42"/>
    <mergeCell ref="I42:J42"/>
    <mergeCell ref="A43:G43"/>
    <mergeCell ref="I43:J43"/>
  </mergeCells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&amp;L&amp;"Aptos Narrow,Bold"STATUS REPORT&amp;COhioma Eboreime PhD. P.E.&amp;RV1.0</oddHeader>
    <oddFooter>&amp;LDate: 07.09.2026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26" colorId="64" zoomScale="100" zoomScaleNormal="100" zoomScalePageLayoutView="100" workbookViewId="0">
      <selection pane="topLeft" activeCell="A2" activeCellId="0" sqref="A2"/>
    </sheetView>
  </sheetViews>
  <sheetFormatPr defaultColWidth="8.84375" defaultRowHeight="14.25" zeroHeight="false" outlineLevelRow="0" outlineLevelCol="0"/>
  <cols>
    <col collapsed="false" customWidth="false" hidden="false" outlineLevel="0" max="16384" min="1" style="1" width="8.84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45" t="s">
        <v>133</v>
      </c>
      <c r="B2" s="46" t="s">
        <v>134</v>
      </c>
      <c r="C2" s="46"/>
      <c r="D2" s="46"/>
      <c r="F2" s="121" t="s">
        <v>296</v>
      </c>
      <c r="G2" s="6" t="s">
        <v>328</v>
      </c>
      <c r="H2" s="6"/>
      <c r="I2" s="6"/>
      <c r="J2" s="6"/>
    </row>
    <row r="3" customFormat="false" ht="14.25" hidden="false" customHeight="true" outlineLevel="0" collapsed="false">
      <c r="A3" s="45" t="s">
        <v>137</v>
      </c>
      <c r="B3" s="6" t="s">
        <v>329</v>
      </c>
      <c r="C3" s="6"/>
      <c r="D3" s="6"/>
    </row>
    <row r="5" customFormat="false" ht="14.25" hidden="false" customHeight="false" outlineLevel="0" collapsed="false">
      <c r="A5" s="136" t="s">
        <v>330</v>
      </c>
      <c r="B5" s="136"/>
      <c r="C5" s="136"/>
      <c r="D5" s="136"/>
    </row>
    <row r="6" customFormat="false" ht="41.75" hidden="false" customHeight="true" outlineLevel="0" collapsed="false">
      <c r="A6" s="33" t="s">
        <v>331</v>
      </c>
      <c r="B6" s="33"/>
      <c r="C6" s="33"/>
      <c r="D6" s="33"/>
      <c r="E6" s="33"/>
      <c r="F6" s="33"/>
      <c r="G6" s="33"/>
      <c r="H6" s="33"/>
      <c r="I6" s="33"/>
      <c r="J6" s="33"/>
    </row>
    <row r="7" customFormat="false" ht="41.75" hidden="false" customHeight="true" outlineLevel="0" collapsed="false">
      <c r="A7" s="33" t="s">
        <v>332</v>
      </c>
      <c r="B7" s="33"/>
      <c r="C7" s="33"/>
      <c r="D7" s="33"/>
      <c r="E7" s="33"/>
      <c r="F7" s="33"/>
      <c r="G7" s="33"/>
      <c r="H7" s="33"/>
      <c r="I7" s="33"/>
      <c r="J7" s="33"/>
    </row>
    <row r="8" customFormat="false" ht="28.35" hidden="false" customHeight="true" outlineLevel="0" collapsed="false">
      <c r="A8" s="33" t="s">
        <v>333</v>
      </c>
      <c r="B8" s="33"/>
      <c r="C8" s="33"/>
      <c r="D8" s="33"/>
      <c r="E8" s="33"/>
      <c r="F8" s="33"/>
      <c r="G8" s="33"/>
      <c r="H8" s="33"/>
      <c r="I8" s="33"/>
      <c r="J8" s="33"/>
    </row>
    <row r="9" customFormat="false" ht="14.25" hidden="false" customHeight="false" outlineLevel="0" collapsed="false">
      <c r="A9" s="41"/>
      <c r="B9" s="41"/>
      <c r="C9" s="41"/>
      <c r="D9" s="41"/>
      <c r="E9" s="41"/>
      <c r="F9" s="41"/>
      <c r="G9" s="41"/>
      <c r="H9" s="41"/>
      <c r="I9" s="41"/>
      <c r="J9" s="41"/>
    </row>
    <row r="10" customFormat="false" ht="14.25" hidden="false" customHeight="false" outlineLevel="0" collapsed="false">
      <c r="A10" s="41"/>
      <c r="B10" s="41"/>
      <c r="C10" s="41"/>
      <c r="D10" s="41"/>
      <c r="E10" s="41"/>
      <c r="F10" s="41"/>
      <c r="G10" s="41"/>
      <c r="H10" s="41"/>
      <c r="I10" s="41"/>
      <c r="J10" s="41"/>
    </row>
    <row r="12" customFormat="false" ht="14.25" hidden="false" customHeight="false" outlineLevel="0" collapsed="false">
      <c r="A12" s="137" t="s">
        <v>334</v>
      </c>
      <c r="B12" s="137"/>
      <c r="C12" s="137"/>
      <c r="D12" s="137"/>
    </row>
    <row r="13" customFormat="false" ht="28.35" hidden="false" customHeight="true" outlineLevel="0" collapsed="false">
      <c r="A13" s="33" t="s">
        <v>335</v>
      </c>
      <c r="B13" s="33"/>
      <c r="C13" s="33"/>
      <c r="D13" s="33"/>
      <c r="E13" s="33"/>
      <c r="F13" s="33"/>
      <c r="G13" s="33"/>
      <c r="H13" s="33"/>
      <c r="I13" s="33"/>
      <c r="J13" s="33"/>
    </row>
    <row r="14" customFormat="false" ht="14.25" hidden="false" customHeight="true" outlineLevel="0" collapsed="false">
      <c r="A14" s="33" t="s">
        <v>336</v>
      </c>
      <c r="B14" s="33"/>
      <c r="C14" s="33"/>
      <c r="D14" s="33"/>
      <c r="E14" s="33"/>
      <c r="F14" s="33"/>
      <c r="G14" s="33"/>
      <c r="H14" s="33"/>
      <c r="I14" s="33"/>
      <c r="J14" s="33"/>
    </row>
    <row r="15" customFormat="false" ht="28.35" hidden="false" customHeight="true" outlineLevel="0" collapsed="false">
      <c r="A15" s="33" t="s">
        <v>337</v>
      </c>
      <c r="B15" s="33"/>
      <c r="C15" s="33"/>
      <c r="D15" s="33"/>
      <c r="E15" s="33"/>
      <c r="F15" s="33"/>
      <c r="G15" s="33"/>
      <c r="H15" s="33"/>
      <c r="I15" s="33"/>
      <c r="J15" s="33"/>
    </row>
    <row r="16" customFormat="false" ht="14.25" hidden="false" customHeight="true" outlineLevel="0" collapsed="false">
      <c r="A16" s="33" t="s">
        <v>338</v>
      </c>
      <c r="B16" s="33"/>
      <c r="C16" s="33"/>
      <c r="D16" s="33"/>
      <c r="E16" s="33"/>
      <c r="F16" s="33"/>
      <c r="G16" s="33"/>
      <c r="H16" s="33"/>
      <c r="I16" s="33"/>
      <c r="J16" s="33"/>
    </row>
    <row r="17" customFormat="false" ht="14.25" hidden="false" customHeight="true" outlineLevel="0" collapsed="false">
      <c r="A17" s="33" t="s">
        <v>339</v>
      </c>
      <c r="B17" s="33"/>
      <c r="C17" s="33"/>
      <c r="D17" s="33"/>
      <c r="E17" s="33"/>
      <c r="F17" s="33"/>
      <c r="G17" s="33"/>
      <c r="H17" s="33"/>
      <c r="I17" s="33"/>
      <c r="J17" s="33"/>
    </row>
    <row r="19" customFormat="false" ht="14.25" hidden="false" customHeight="false" outlineLevel="0" collapsed="false">
      <c r="A19" s="138" t="s">
        <v>340</v>
      </c>
      <c r="B19" s="138"/>
      <c r="C19" s="139"/>
      <c r="D19" s="139"/>
      <c r="F19" s="138" t="s">
        <v>341</v>
      </c>
      <c r="G19" s="138"/>
    </row>
    <row r="20" customFormat="false" ht="28.35" hidden="false" customHeight="true" outlineLevel="0" collapsed="false">
      <c r="A20" s="33" t="s">
        <v>342</v>
      </c>
      <c r="B20" s="33"/>
      <c r="C20" s="33"/>
      <c r="D20" s="33"/>
      <c r="E20" s="33"/>
      <c r="F20" s="33" t="s">
        <v>343</v>
      </c>
      <c r="G20" s="33"/>
      <c r="H20" s="33"/>
      <c r="I20" s="33"/>
      <c r="J20" s="33"/>
    </row>
    <row r="21" customFormat="false" ht="28.35" hidden="false" customHeight="true" outlineLevel="0" collapsed="false">
      <c r="A21" s="33" t="s">
        <v>344</v>
      </c>
      <c r="B21" s="33"/>
      <c r="C21" s="33"/>
      <c r="D21" s="33"/>
      <c r="E21" s="33"/>
      <c r="F21" s="33" t="s">
        <v>345</v>
      </c>
      <c r="G21" s="33"/>
      <c r="H21" s="33"/>
      <c r="I21" s="33"/>
      <c r="J21" s="33"/>
    </row>
    <row r="22" customFormat="false" ht="28.35" hidden="false" customHeight="true" outlineLevel="0" collapsed="false">
      <c r="A22" s="33" t="s">
        <v>346</v>
      </c>
      <c r="B22" s="33"/>
      <c r="C22" s="33"/>
      <c r="D22" s="33"/>
      <c r="E22" s="33"/>
      <c r="F22" s="33" t="s">
        <v>347</v>
      </c>
      <c r="G22" s="33"/>
      <c r="H22" s="33"/>
      <c r="I22" s="33"/>
      <c r="J22" s="33"/>
    </row>
    <row r="23" customFormat="false" ht="28.35" hidden="false" customHeight="true" outlineLevel="0" collapsed="false">
      <c r="A23" s="33" t="s">
        <v>348</v>
      </c>
      <c r="B23" s="33"/>
      <c r="C23" s="33"/>
      <c r="D23" s="33"/>
      <c r="E23" s="33"/>
      <c r="F23" s="33" t="s">
        <v>349</v>
      </c>
      <c r="G23" s="33"/>
      <c r="H23" s="33"/>
      <c r="I23" s="33"/>
      <c r="J23" s="33"/>
    </row>
    <row r="24" customFormat="false" ht="28.35" hidden="false" customHeight="true" outlineLevel="0" collapsed="false">
      <c r="A24" s="33" t="s">
        <v>350</v>
      </c>
      <c r="B24" s="33"/>
      <c r="C24" s="33"/>
      <c r="D24" s="33"/>
      <c r="E24" s="33"/>
      <c r="F24" s="33" t="s">
        <v>351</v>
      </c>
      <c r="G24" s="33"/>
      <c r="H24" s="33"/>
      <c r="I24" s="33"/>
      <c r="J24" s="33"/>
    </row>
    <row r="26" customFormat="false" ht="14.25" hidden="false" customHeight="false" outlineLevel="0" collapsed="false">
      <c r="A26" s="140" t="s">
        <v>352</v>
      </c>
      <c r="B26" s="140"/>
      <c r="C26" s="140"/>
      <c r="D26" s="140"/>
    </row>
    <row r="27" customFormat="false" ht="14.25" hidden="false" customHeight="false" outlineLevel="0" collapsed="false">
      <c r="A27" s="141" t="s">
        <v>353</v>
      </c>
      <c r="B27" s="141"/>
      <c r="C27" s="141"/>
      <c r="D27" s="141" t="s">
        <v>354</v>
      </c>
      <c r="E27" s="142" t="s">
        <v>355</v>
      </c>
      <c r="F27" s="142"/>
      <c r="G27" s="142"/>
      <c r="H27" s="142"/>
      <c r="I27" s="142" t="s">
        <v>356</v>
      </c>
      <c r="J27" s="142"/>
    </row>
    <row r="28" customFormat="false" ht="41.75" hidden="false" customHeight="true" outlineLevel="0" collapsed="false">
      <c r="A28" s="33" t="s">
        <v>52</v>
      </c>
      <c r="B28" s="33"/>
      <c r="C28" s="33"/>
      <c r="D28" s="33" t="s">
        <v>357</v>
      </c>
      <c r="E28" s="33" t="s">
        <v>358</v>
      </c>
      <c r="F28" s="33"/>
      <c r="G28" s="33"/>
      <c r="H28" s="33"/>
      <c r="I28" s="33" t="s">
        <v>359</v>
      </c>
      <c r="J28" s="33"/>
    </row>
    <row r="29" customFormat="false" ht="41.75" hidden="false" customHeight="true" outlineLevel="0" collapsed="false">
      <c r="A29" s="33" t="s">
        <v>360</v>
      </c>
      <c r="B29" s="33"/>
      <c r="C29" s="33"/>
      <c r="D29" s="33" t="s">
        <v>361</v>
      </c>
      <c r="E29" s="33" t="s">
        <v>362</v>
      </c>
      <c r="F29" s="33"/>
      <c r="G29" s="33"/>
      <c r="H29" s="33"/>
      <c r="I29" s="33" t="s">
        <v>363</v>
      </c>
      <c r="J29" s="33"/>
    </row>
    <row r="30" customFormat="false" ht="28.35" hidden="false" customHeight="true" outlineLevel="0" collapsed="false">
      <c r="A30" s="33" t="s">
        <v>364</v>
      </c>
      <c r="B30" s="33"/>
      <c r="C30" s="33"/>
      <c r="D30" s="33" t="s">
        <v>365</v>
      </c>
      <c r="E30" s="33" t="s">
        <v>366</v>
      </c>
      <c r="F30" s="33"/>
      <c r="G30" s="33"/>
      <c r="H30" s="33"/>
      <c r="I30" s="33" t="s">
        <v>367</v>
      </c>
      <c r="J30" s="33"/>
    </row>
    <row r="31" customFormat="false" ht="28.35" hidden="false" customHeight="true" outlineLevel="0" collapsed="false">
      <c r="A31" s="33" t="s">
        <v>368</v>
      </c>
      <c r="B31" s="33"/>
      <c r="C31" s="33"/>
      <c r="D31" s="33" t="s">
        <v>369</v>
      </c>
      <c r="E31" s="33" t="s">
        <v>370</v>
      </c>
      <c r="F31" s="33"/>
      <c r="G31" s="33"/>
      <c r="H31" s="33"/>
      <c r="I31" s="33" t="s">
        <v>371</v>
      </c>
      <c r="J31" s="33"/>
    </row>
    <row r="33" customFormat="false" ht="14.25" hidden="false" customHeight="false" outlineLevel="0" collapsed="false">
      <c r="A33" s="143" t="s">
        <v>372</v>
      </c>
      <c r="B33" s="143"/>
      <c r="C33" s="143"/>
      <c r="D33" s="143"/>
    </row>
    <row r="34" customFormat="false" ht="14.25" hidden="false" customHeight="true" outlineLevel="0" collapsed="false">
      <c r="A34" s="33" t="s">
        <v>373</v>
      </c>
      <c r="B34" s="33"/>
      <c r="C34" s="33"/>
      <c r="D34" s="33"/>
      <c r="E34" s="33"/>
      <c r="F34" s="33"/>
      <c r="G34" s="33"/>
      <c r="H34" s="33"/>
      <c r="I34" s="33"/>
      <c r="J34" s="33"/>
    </row>
    <row r="35" customFormat="false" ht="14.25" hidden="false" customHeight="true" outlineLevel="0" collapsed="false">
      <c r="A35" s="33" t="s">
        <v>374</v>
      </c>
      <c r="B35" s="33"/>
      <c r="C35" s="33"/>
      <c r="D35" s="33"/>
      <c r="E35" s="33"/>
      <c r="F35" s="33"/>
      <c r="G35" s="33"/>
      <c r="H35" s="33"/>
      <c r="I35" s="33"/>
      <c r="J35" s="33"/>
    </row>
    <row r="36" customFormat="false" ht="14.25" hidden="false" customHeight="true" outlineLevel="0" collapsed="false">
      <c r="A36" s="33" t="s">
        <v>375</v>
      </c>
      <c r="B36" s="33"/>
      <c r="C36" s="33"/>
      <c r="D36" s="33"/>
      <c r="E36" s="33"/>
      <c r="F36" s="33"/>
      <c r="G36" s="33"/>
      <c r="H36" s="33"/>
      <c r="I36" s="33"/>
      <c r="J36" s="33"/>
    </row>
    <row r="37" customFormat="false" ht="14.25" hidden="false" customHeight="true" outlineLevel="0" collapsed="false">
      <c r="A37" s="33" t="s">
        <v>376</v>
      </c>
      <c r="B37" s="33"/>
      <c r="C37" s="33"/>
      <c r="D37" s="33"/>
      <c r="E37" s="33"/>
      <c r="F37" s="33"/>
      <c r="G37" s="33"/>
      <c r="H37" s="33"/>
      <c r="I37" s="33"/>
      <c r="J37" s="33"/>
    </row>
    <row r="38" customFormat="false" ht="14.25" hidden="false" customHeight="true" outlineLevel="0" collapsed="false">
      <c r="A38" s="33" t="s">
        <v>377</v>
      </c>
      <c r="B38" s="33"/>
      <c r="C38" s="33"/>
      <c r="D38" s="33"/>
      <c r="E38" s="33"/>
      <c r="F38" s="33"/>
      <c r="G38" s="33"/>
      <c r="H38" s="33"/>
      <c r="I38" s="33"/>
      <c r="J38" s="33"/>
    </row>
    <row r="39" customFormat="false" ht="14.25" hidden="false" customHeight="false" outlineLevel="0" collapsed="false">
      <c r="A39" s="143" t="s">
        <v>378</v>
      </c>
      <c r="B39" s="143"/>
      <c r="C39" s="143"/>
      <c r="D39" s="143"/>
    </row>
    <row r="40" customFormat="false" ht="14.25" hidden="false" customHeight="true" outlineLevel="0" collapsed="false">
      <c r="A40" s="33" t="s">
        <v>379</v>
      </c>
      <c r="B40" s="33"/>
      <c r="C40" s="33"/>
      <c r="D40" s="33"/>
      <c r="E40" s="33"/>
      <c r="F40" s="33"/>
      <c r="G40" s="33"/>
      <c r="H40" s="33"/>
      <c r="I40" s="33"/>
      <c r="J40" s="33"/>
    </row>
    <row r="41" customFormat="false" ht="14.25" hidden="false" customHeight="true" outlineLevel="0" collapsed="false">
      <c r="A41" s="33" t="s">
        <v>380</v>
      </c>
      <c r="B41" s="33"/>
      <c r="C41" s="33"/>
      <c r="D41" s="33"/>
      <c r="E41" s="33"/>
      <c r="F41" s="33"/>
      <c r="G41" s="33"/>
      <c r="H41" s="33"/>
      <c r="I41" s="33"/>
      <c r="J41" s="33"/>
    </row>
    <row r="42" customFormat="false" ht="14.25" hidden="false" customHeight="true" outlineLevel="0" collapsed="false">
      <c r="A42" s="33" t="s">
        <v>381</v>
      </c>
      <c r="B42" s="33"/>
      <c r="C42" s="33"/>
      <c r="D42" s="33"/>
      <c r="E42" s="33"/>
      <c r="F42" s="33"/>
      <c r="G42" s="33"/>
      <c r="H42" s="33"/>
      <c r="I42" s="33"/>
      <c r="J42" s="33"/>
    </row>
    <row r="43" customFormat="false" ht="14.25" hidden="false" customHeight="true" outlineLevel="0" collapsed="false">
      <c r="A43" s="33" t="s">
        <v>382</v>
      </c>
      <c r="B43" s="33"/>
      <c r="C43" s="33"/>
      <c r="D43" s="33"/>
      <c r="E43" s="33"/>
      <c r="F43" s="33"/>
      <c r="G43" s="33"/>
      <c r="H43" s="33"/>
      <c r="I43" s="33"/>
      <c r="J43" s="33"/>
    </row>
    <row r="44" customFormat="false" ht="14.25" hidden="false" customHeight="true" outlineLevel="0" collapsed="false">
      <c r="A44" s="33" t="s">
        <v>383</v>
      </c>
      <c r="B44" s="33"/>
      <c r="C44" s="33"/>
      <c r="D44" s="33"/>
      <c r="E44" s="33"/>
      <c r="F44" s="33"/>
      <c r="G44" s="33"/>
      <c r="H44" s="33"/>
      <c r="I44" s="33"/>
      <c r="J44" s="33"/>
    </row>
  </sheetData>
  <mergeCells count="55">
    <mergeCell ref="B2:D2"/>
    <mergeCell ref="G2:J2"/>
    <mergeCell ref="B3:D3"/>
    <mergeCell ref="A5:D5"/>
    <mergeCell ref="A6:J6"/>
    <mergeCell ref="A7:J7"/>
    <mergeCell ref="A8:J8"/>
    <mergeCell ref="A9:J9"/>
    <mergeCell ref="A10:J10"/>
    <mergeCell ref="A12:D12"/>
    <mergeCell ref="A13:J13"/>
    <mergeCell ref="A14:J14"/>
    <mergeCell ref="A15:J15"/>
    <mergeCell ref="A16:J16"/>
    <mergeCell ref="A17:J17"/>
    <mergeCell ref="A19:B19"/>
    <mergeCell ref="F19:G19"/>
    <mergeCell ref="A20:E20"/>
    <mergeCell ref="F20:J20"/>
    <mergeCell ref="A21:E21"/>
    <mergeCell ref="F21:J21"/>
    <mergeCell ref="A22:E22"/>
    <mergeCell ref="F22:J22"/>
    <mergeCell ref="A23:E23"/>
    <mergeCell ref="F23:J23"/>
    <mergeCell ref="A24:E24"/>
    <mergeCell ref="F24:J24"/>
    <mergeCell ref="A26:D26"/>
    <mergeCell ref="A27:C27"/>
    <mergeCell ref="E27:H27"/>
    <mergeCell ref="I27:J27"/>
    <mergeCell ref="A28:C28"/>
    <mergeCell ref="E28:H28"/>
    <mergeCell ref="I28:J28"/>
    <mergeCell ref="A29:C29"/>
    <mergeCell ref="E29:H29"/>
    <mergeCell ref="I29:J29"/>
    <mergeCell ref="A30:C30"/>
    <mergeCell ref="E30:H30"/>
    <mergeCell ref="I30:J30"/>
    <mergeCell ref="A31:C31"/>
    <mergeCell ref="E31:H31"/>
    <mergeCell ref="I31:J31"/>
    <mergeCell ref="A33:D33"/>
    <mergeCell ref="A34:J34"/>
    <mergeCell ref="A35:J35"/>
    <mergeCell ref="A36:J36"/>
    <mergeCell ref="A37:J37"/>
    <mergeCell ref="A38:J38"/>
    <mergeCell ref="A39:D39"/>
    <mergeCell ref="A40:J40"/>
    <mergeCell ref="A41:J41"/>
    <mergeCell ref="A42:J42"/>
    <mergeCell ref="A43:J43"/>
    <mergeCell ref="A44:J44"/>
  </mergeCells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&amp;L&amp;"Aptos Narrow,Bold"KICK-OFF&amp;COhioma Eboreime PhD. P.E.&amp;RV1.0</oddHeader>
    <oddFooter>&amp;LDate: 07.09.2026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44" activeCellId="0" sqref="A44"/>
    </sheetView>
  </sheetViews>
  <sheetFormatPr defaultColWidth="8.84375" defaultRowHeight="14.25" zeroHeight="false" outlineLevelRow="0" outlineLevelCol="0"/>
  <cols>
    <col collapsed="false" customWidth="false" hidden="false" outlineLevel="0" max="16384" min="1" style="1" width="8.84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45" t="s">
        <v>133</v>
      </c>
      <c r="B2" s="46" t="s">
        <v>134</v>
      </c>
      <c r="C2" s="46"/>
      <c r="D2" s="46"/>
      <c r="F2" s="144" t="s">
        <v>297</v>
      </c>
      <c r="G2" s="145"/>
      <c r="H2" s="145"/>
      <c r="I2" s="145"/>
      <c r="J2" s="145"/>
    </row>
    <row r="3" customFormat="false" ht="14.25" hidden="false" customHeight="true" outlineLevel="0" collapsed="false">
      <c r="A3" s="45" t="s">
        <v>137</v>
      </c>
      <c r="B3" s="6" t="s">
        <v>52</v>
      </c>
      <c r="C3" s="6"/>
      <c r="D3" s="6"/>
    </row>
    <row r="5" customFormat="false" ht="14.25" hidden="false" customHeight="false" outlineLevel="0" collapsed="false">
      <c r="A5" s="146" t="s">
        <v>384</v>
      </c>
      <c r="B5" s="146" t="s">
        <v>385</v>
      </c>
      <c r="C5" s="146"/>
      <c r="D5" s="146"/>
      <c r="E5" s="146"/>
      <c r="F5" s="146"/>
      <c r="G5" s="146" t="s">
        <v>140</v>
      </c>
      <c r="H5" s="146"/>
      <c r="I5" s="146" t="s">
        <v>386</v>
      </c>
      <c r="J5" s="146" t="s">
        <v>144</v>
      </c>
    </row>
    <row r="6" customFormat="false" ht="14.25" hidden="false" customHeight="true" outlineLevel="0" collapsed="false">
      <c r="A6" s="57" t="s">
        <v>387</v>
      </c>
      <c r="B6" s="147" t="s">
        <v>388</v>
      </c>
      <c r="C6" s="147"/>
      <c r="D6" s="147"/>
      <c r="E6" s="147"/>
      <c r="F6" s="147"/>
      <c r="G6" s="34" t="s">
        <v>152</v>
      </c>
      <c r="H6" s="34"/>
      <c r="I6" s="34"/>
      <c r="J6" s="53" t="s">
        <v>154</v>
      </c>
    </row>
    <row r="7" customFormat="false" ht="14.25" hidden="false" customHeight="true" outlineLevel="0" collapsed="false">
      <c r="A7" s="34" t="s">
        <v>170</v>
      </c>
      <c r="B7" s="33" t="s">
        <v>389</v>
      </c>
      <c r="C7" s="33"/>
      <c r="D7" s="33"/>
      <c r="E7" s="33"/>
      <c r="F7" s="33"/>
      <c r="G7" s="34" t="s">
        <v>152</v>
      </c>
      <c r="H7" s="34"/>
      <c r="I7" s="34"/>
      <c r="J7" s="53" t="s">
        <v>154</v>
      </c>
    </row>
    <row r="8" customFormat="false" ht="14.25" hidden="false" customHeight="true" outlineLevel="0" collapsed="false">
      <c r="A8" s="34" t="s">
        <v>173</v>
      </c>
      <c r="B8" s="33" t="s">
        <v>390</v>
      </c>
      <c r="C8" s="33"/>
      <c r="D8" s="33"/>
      <c r="E8" s="33"/>
      <c r="F8" s="33"/>
      <c r="G8" s="34" t="s">
        <v>152</v>
      </c>
      <c r="H8" s="34"/>
      <c r="I8" s="34"/>
      <c r="J8" s="53" t="s">
        <v>154</v>
      </c>
    </row>
    <row r="9" customFormat="false" ht="14.25" hidden="false" customHeight="true" outlineLevel="0" collapsed="false">
      <c r="A9" s="34" t="s">
        <v>175</v>
      </c>
      <c r="B9" s="33" t="s">
        <v>391</v>
      </c>
      <c r="C9" s="33"/>
      <c r="D9" s="33"/>
      <c r="E9" s="33"/>
      <c r="F9" s="33"/>
      <c r="G9" s="34" t="s">
        <v>152</v>
      </c>
      <c r="H9" s="34"/>
      <c r="I9" s="34"/>
      <c r="J9" s="53" t="s">
        <v>154</v>
      </c>
    </row>
    <row r="10" customFormat="false" ht="14.25" hidden="false" customHeight="true" outlineLevel="0" collapsed="false">
      <c r="A10" s="34" t="s">
        <v>177</v>
      </c>
      <c r="B10" s="33" t="s">
        <v>392</v>
      </c>
      <c r="C10" s="33"/>
      <c r="D10" s="33"/>
      <c r="E10" s="33"/>
      <c r="F10" s="33"/>
      <c r="G10" s="34" t="s">
        <v>152</v>
      </c>
      <c r="H10" s="34"/>
      <c r="I10" s="34"/>
      <c r="J10" s="148" t="s">
        <v>165</v>
      </c>
    </row>
    <row r="11" customFormat="false" ht="14.25" hidden="false" customHeight="true" outlineLevel="0" collapsed="false">
      <c r="A11" s="57" t="s">
        <v>393</v>
      </c>
      <c r="B11" s="147" t="s">
        <v>394</v>
      </c>
      <c r="C11" s="147"/>
      <c r="D11" s="147"/>
      <c r="E11" s="147"/>
      <c r="F11" s="147"/>
      <c r="G11" s="34" t="s">
        <v>152</v>
      </c>
      <c r="H11" s="34"/>
      <c r="I11" s="34"/>
      <c r="J11" s="53" t="s">
        <v>149</v>
      </c>
    </row>
    <row r="12" customFormat="false" ht="14.25" hidden="false" customHeight="true" outlineLevel="0" collapsed="false">
      <c r="A12" s="34" t="s">
        <v>184</v>
      </c>
      <c r="B12" s="33" t="s">
        <v>395</v>
      </c>
      <c r="C12" s="33"/>
      <c r="D12" s="33"/>
      <c r="E12" s="33"/>
      <c r="F12" s="33"/>
      <c r="G12" s="34" t="s">
        <v>152</v>
      </c>
      <c r="H12" s="34"/>
      <c r="I12" s="34"/>
      <c r="J12" s="53" t="s">
        <v>154</v>
      </c>
    </row>
    <row r="13" customFormat="false" ht="14.25" hidden="false" customHeight="true" outlineLevel="0" collapsed="false">
      <c r="A13" s="34" t="s">
        <v>186</v>
      </c>
      <c r="B13" s="33" t="s">
        <v>396</v>
      </c>
      <c r="C13" s="33"/>
      <c r="D13" s="33"/>
      <c r="E13" s="33"/>
      <c r="F13" s="33"/>
      <c r="G13" s="34" t="s">
        <v>152</v>
      </c>
      <c r="H13" s="34"/>
      <c r="I13" s="34"/>
      <c r="J13" s="53" t="s">
        <v>154</v>
      </c>
    </row>
    <row r="14" customFormat="false" ht="14.25" hidden="false" customHeight="true" outlineLevel="0" collapsed="false">
      <c r="A14" s="34" t="s">
        <v>187</v>
      </c>
      <c r="B14" s="33" t="s">
        <v>397</v>
      </c>
      <c r="C14" s="33"/>
      <c r="D14" s="33"/>
      <c r="E14" s="33"/>
      <c r="F14" s="33"/>
      <c r="G14" s="34" t="s">
        <v>152</v>
      </c>
      <c r="H14" s="34"/>
      <c r="I14" s="34"/>
      <c r="J14" s="53" t="s">
        <v>154</v>
      </c>
    </row>
    <row r="15" customFormat="false" ht="14.25" hidden="false" customHeight="true" outlineLevel="0" collapsed="false">
      <c r="A15" s="34" t="s">
        <v>190</v>
      </c>
      <c r="B15" s="33" t="s">
        <v>398</v>
      </c>
      <c r="C15" s="33"/>
      <c r="D15" s="33"/>
      <c r="E15" s="33"/>
      <c r="F15" s="33"/>
      <c r="G15" s="34" t="s">
        <v>152</v>
      </c>
      <c r="H15" s="34"/>
      <c r="I15" s="34"/>
      <c r="J15" s="59" t="s">
        <v>149</v>
      </c>
    </row>
    <row r="16" customFormat="false" ht="14.25" hidden="false" customHeight="true" outlineLevel="0" collapsed="false">
      <c r="A16" s="34" t="s">
        <v>193</v>
      </c>
      <c r="B16" s="33" t="s">
        <v>399</v>
      </c>
      <c r="C16" s="33"/>
      <c r="D16" s="33"/>
      <c r="E16" s="33"/>
      <c r="F16" s="33"/>
      <c r="G16" s="34" t="s">
        <v>152</v>
      </c>
      <c r="H16" s="34"/>
      <c r="I16" s="34"/>
      <c r="J16" s="53" t="s">
        <v>154</v>
      </c>
    </row>
    <row r="17" customFormat="false" ht="14.25" hidden="false" customHeight="true" outlineLevel="0" collapsed="false">
      <c r="A17" s="57" t="s">
        <v>400</v>
      </c>
      <c r="B17" s="147" t="s">
        <v>401</v>
      </c>
      <c r="C17" s="147"/>
      <c r="D17" s="147"/>
      <c r="E17" s="147"/>
      <c r="F17" s="147"/>
      <c r="G17" s="34" t="s">
        <v>152</v>
      </c>
      <c r="H17" s="34"/>
      <c r="I17" s="34"/>
      <c r="J17" s="59" t="s">
        <v>172</v>
      </c>
    </row>
    <row r="18" customFormat="false" ht="14.25" hidden="false" customHeight="true" outlineLevel="0" collapsed="false">
      <c r="A18" s="34" t="s">
        <v>200</v>
      </c>
      <c r="B18" s="33" t="s">
        <v>402</v>
      </c>
      <c r="C18" s="33"/>
      <c r="D18" s="33"/>
      <c r="E18" s="33"/>
      <c r="F18" s="33"/>
      <c r="G18" s="34" t="s">
        <v>152</v>
      </c>
      <c r="H18" s="34"/>
      <c r="I18" s="34"/>
      <c r="J18" s="59" t="s">
        <v>172</v>
      </c>
    </row>
    <row r="19" customFormat="false" ht="14.25" hidden="false" customHeight="true" outlineLevel="0" collapsed="false">
      <c r="A19" s="34" t="s">
        <v>202</v>
      </c>
      <c r="B19" s="33" t="s">
        <v>403</v>
      </c>
      <c r="C19" s="33"/>
      <c r="D19" s="33"/>
      <c r="E19" s="33"/>
      <c r="F19" s="33"/>
      <c r="G19" s="34" t="s">
        <v>152</v>
      </c>
      <c r="H19" s="34"/>
      <c r="I19" s="34"/>
      <c r="J19" s="59" t="s">
        <v>172</v>
      </c>
    </row>
    <row r="20" customFormat="false" ht="14.25" hidden="false" customHeight="true" outlineLevel="0" collapsed="false">
      <c r="A20" s="34" t="s">
        <v>204</v>
      </c>
      <c r="B20" s="33" t="s">
        <v>404</v>
      </c>
      <c r="C20" s="33"/>
      <c r="D20" s="33"/>
      <c r="E20" s="33"/>
      <c r="F20" s="33"/>
      <c r="G20" s="34" t="s">
        <v>152</v>
      </c>
      <c r="H20" s="34"/>
      <c r="I20" s="34"/>
      <c r="J20" s="59" t="s">
        <v>172</v>
      </c>
    </row>
    <row r="21" customFormat="false" ht="14.25" hidden="false" customHeight="true" outlineLevel="0" collapsed="false">
      <c r="A21" s="57" t="s">
        <v>405</v>
      </c>
      <c r="B21" s="147" t="s">
        <v>406</v>
      </c>
      <c r="C21" s="147"/>
      <c r="D21" s="147"/>
      <c r="E21" s="147"/>
      <c r="F21" s="147"/>
      <c r="G21" s="34" t="s">
        <v>157</v>
      </c>
      <c r="H21" s="34"/>
      <c r="I21" s="34"/>
      <c r="J21" s="59" t="s">
        <v>149</v>
      </c>
    </row>
    <row r="22" customFormat="false" ht="14.25" hidden="false" customHeight="true" outlineLevel="0" collapsed="false">
      <c r="A22" s="34" t="s">
        <v>210</v>
      </c>
      <c r="B22" s="33" t="s">
        <v>407</v>
      </c>
      <c r="C22" s="33"/>
      <c r="D22" s="33"/>
      <c r="E22" s="33"/>
      <c r="F22" s="33"/>
      <c r="G22" s="34" t="s">
        <v>408</v>
      </c>
      <c r="H22" s="34"/>
      <c r="I22" s="34"/>
      <c r="J22" s="53" t="s">
        <v>154</v>
      </c>
    </row>
    <row r="23" customFormat="false" ht="14.25" hidden="false" customHeight="true" outlineLevel="0" collapsed="false">
      <c r="A23" s="34" t="s">
        <v>212</v>
      </c>
      <c r="B23" s="33" t="s">
        <v>409</v>
      </c>
      <c r="C23" s="33"/>
      <c r="D23" s="33"/>
      <c r="E23" s="33"/>
      <c r="F23" s="33"/>
      <c r="G23" s="34" t="s">
        <v>408</v>
      </c>
      <c r="H23" s="34"/>
      <c r="I23" s="34"/>
      <c r="J23" s="53" t="s">
        <v>154</v>
      </c>
    </row>
    <row r="24" customFormat="false" ht="14.25" hidden="false" customHeight="true" outlineLevel="0" collapsed="false">
      <c r="A24" s="34" t="s">
        <v>410</v>
      </c>
      <c r="B24" s="33" t="s">
        <v>411</v>
      </c>
      <c r="C24" s="33"/>
      <c r="D24" s="33"/>
      <c r="E24" s="33"/>
      <c r="F24" s="33"/>
      <c r="G24" s="34" t="s">
        <v>408</v>
      </c>
      <c r="H24" s="34"/>
      <c r="I24" s="34"/>
      <c r="J24" s="53" t="s">
        <v>154</v>
      </c>
    </row>
    <row r="25" customFormat="false" ht="14.25" hidden="false" customHeight="true" outlineLevel="0" collapsed="false">
      <c r="A25" s="34" t="s">
        <v>412</v>
      </c>
      <c r="B25" s="33" t="s">
        <v>413</v>
      </c>
      <c r="C25" s="33"/>
      <c r="D25" s="33"/>
      <c r="E25" s="33"/>
      <c r="F25" s="33"/>
      <c r="G25" s="34" t="s">
        <v>152</v>
      </c>
      <c r="H25" s="34"/>
      <c r="I25" s="34"/>
      <c r="J25" s="59" t="s">
        <v>172</v>
      </c>
    </row>
    <row r="26" customFormat="false" ht="14.25" hidden="false" customHeight="true" outlineLevel="0" collapsed="false">
      <c r="A26" s="34" t="s">
        <v>414</v>
      </c>
      <c r="B26" s="33" t="s">
        <v>415</v>
      </c>
      <c r="C26" s="33"/>
      <c r="D26" s="33"/>
      <c r="E26" s="33"/>
      <c r="F26" s="33"/>
      <c r="G26" s="34" t="s">
        <v>152</v>
      </c>
      <c r="H26" s="34"/>
      <c r="I26" s="34"/>
      <c r="J26" s="59" t="s">
        <v>149</v>
      </c>
    </row>
    <row r="27" customFormat="false" ht="14.25" hidden="false" customHeight="true" outlineLevel="0" collapsed="false">
      <c r="A27" s="57" t="s">
        <v>416</v>
      </c>
      <c r="B27" s="147" t="s">
        <v>417</v>
      </c>
      <c r="C27" s="147"/>
      <c r="D27" s="147"/>
      <c r="E27" s="147"/>
      <c r="F27" s="147"/>
      <c r="G27" s="34" t="s">
        <v>152</v>
      </c>
      <c r="H27" s="34"/>
      <c r="I27" s="34"/>
      <c r="J27" s="59" t="s">
        <v>149</v>
      </c>
    </row>
    <row r="28" customFormat="false" ht="14.25" hidden="false" customHeight="true" outlineLevel="0" collapsed="false">
      <c r="A28" s="34" t="s">
        <v>418</v>
      </c>
      <c r="B28" s="33" t="s">
        <v>419</v>
      </c>
      <c r="C28" s="33"/>
      <c r="D28" s="33"/>
      <c r="E28" s="33"/>
      <c r="F28" s="33"/>
      <c r="G28" s="34" t="s">
        <v>152</v>
      </c>
      <c r="H28" s="34"/>
      <c r="I28" s="34"/>
      <c r="J28" s="53" t="s">
        <v>154</v>
      </c>
    </row>
    <row r="29" customFormat="false" ht="14.25" hidden="false" customHeight="true" outlineLevel="0" collapsed="false">
      <c r="A29" s="34" t="s">
        <v>420</v>
      </c>
      <c r="B29" s="33" t="s">
        <v>421</v>
      </c>
      <c r="C29" s="33"/>
      <c r="D29" s="33"/>
      <c r="E29" s="33"/>
      <c r="F29" s="33"/>
      <c r="G29" s="34" t="s">
        <v>152</v>
      </c>
      <c r="H29" s="34"/>
      <c r="I29" s="34"/>
      <c r="J29" s="53" t="s">
        <v>154</v>
      </c>
    </row>
    <row r="30" customFormat="false" ht="14.25" hidden="false" customHeight="true" outlineLevel="0" collapsed="false">
      <c r="A30" s="34" t="s">
        <v>422</v>
      </c>
      <c r="B30" s="33" t="s">
        <v>423</v>
      </c>
      <c r="C30" s="33"/>
      <c r="D30" s="33"/>
      <c r="E30" s="33"/>
      <c r="F30" s="33"/>
      <c r="G30" s="34" t="s">
        <v>152</v>
      </c>
      <c r="H30" s="34"/>
      <c r="I30" s="34"/>
      <c r="J30" s="59" t="s">
        <v>149</v>
      </c>
    </row>
    <row r="31" customFormat="false" ht="14.25" hidden="false" customHeight="true" outlineLevel="0" collapsed="false">
      <c r="A31" s="34" t="s">
        <v>424</v>
      </c>
      <c r="B31" s="33" t="s">
        <v>425</v>
      </c>
      <c r="C31" s="33"/>
      <c r="D31" s="33"/>
      <c r="E31" s="33"/>
      <c r="F31" s="33"/>
      <c r="G31" s="34" t="s">
        <v>152</v>
      </c>
      <c r="H31" s="34"/>
      <c r="I31" s="34"/>
      <c r="J31" s="59" t="s">
        <v>172</v>
      </c>
    </row>
    <row r="32" customFormat="false" ht="14.25" hidden="false" customHeight="true" outlineLevel="0" collapsed="false">
      <c r="A32" s="34" t="s">
        <v>426</v>
      </c>
      <c r="B32" s="33" t="s">
        <v>427</v>
      </c>
      <c r="C32" s="33"/>
      <c r="D32" s="33"/>
      <c r="E32" s="33"/>
      <c r="F32" s="33"/>
      <c r="G32" s="34" t="s">
        <v>52</v>
      </c>
      <c r="H32" s="34"/>
      <c r="I32" s="34"/>
      <c r="J32" s="59" t="s">
        <v>172</v>
      </c>
    </row>
    <row r="33" customFormat="false" ht="14.25" hidden="false" customHeight="true" outlineLevel="0" collapsed="false">
      <c r="A33" s="57" t="s">
        <v>428</v>
      </c>
      <c r="B33" s="147" t="s">
        <v>429</v>
      </c>
      <c r="C33" s="147"/>
      <c r="D33" s="147"/>
      <c r="E33" s="147"/>
      <c r="F33" s="147"/>
      <c r="G33" s="34" t="s">
        <v>52</v>
      </c>
      <c r="H33" s="34"/>
      <c r="I33" s="34"/>
      <c r="J33" s="59" t="s">
        <v>172</v>
      </c>
    </row>
    <row r="34" customFormat="false" ht="14.25" hidden="false" customHeight="true" outlineLevel="0" collapsed="false">
      <c r="A34" s="34" t="s">
        <v>430</v>
      </c>
      <c r="B34" s="33" t="s">
        <v>197</v>
      </c>
      <c r="C34" s="33"/>
      <c r="D34" s="33"/>
      <c r="E34" s="33"/>
      <c r="F34" s="33"/>
      <c r="G34" s="34" t="s">
        <v>52</v>
      </c>
      <c r="H34" s="34"/>
      <c r="I34" s="34"/>
      <c r="J34" s="59" t="s">
        <v>172</v>
      </c>
    </row>
    <row r="35" customFormat="false" ht="14.25" hidden="false" customHeight="true" outlineLevel="0" collapsed="false">
      <c r="A35" s="34" t="s">
        <v>431</v>
      </c>
      <c r="B35" s="33" t="s">
        <v>432</v>
      </c>
      <c r="C35" s="33"/>
      <c r="D35" s="33"/>
      <c r="E35" s="33"/>
      <c r="F35" s="33"/>
      <c r="G35" s="34" t="s">
        <v>52</v>
      </c>
      <c r="H35" s="34"/>
      <c r="I35" s="34"/>
      <c r="J35" s="59" t="s">
        <v>172</v>
      </c>
    </row>
    <row r="36" customFormat="false" ht="14.25" hidden="false" customHeight="true" outlineLevel="0" collapsed="false">
      <c r="A36" s="34" t="s">
        <v>433</v>
      </c>
      <c r="B36" s="33" t="s">
        <v>434</v>
      </c>
      <c r="C36" s="33"/>
      <c r="D36" s="33"/>
      <c r="E36" s="33"/>
      <c r="F36" s="33"/>
      <c r="G36" s="34" t="s">
        <v>152</v>
      </c>
      <c r="H36" s="34"/>
      <c r="I36" s="34"/>
      <c r="J36" s="59" t="s">
        <v>172</v>
      </c>
    </row>
    <row r="37" customFormat="false" ht="14.25" hidden="false" customHeight="true" outlineLevel="0" collapsed="false">
      <c r="A37" s="57" t="s">
        <v>435</v>
      </c>
      <c r="B37" s="147" t="s">
        <v>436</v>
      </c>
      <c r="C37" s="147"/>
      <c r="D37" s="147"/>
      <c r="E37" s="147"/>
      <c r="F37" s="147"/>
      <c r="G37" s="34" t="s">
        <v>152</v>
      </c>
      <c r="H37" s="34"/>
      <c r="I37" s="34"/>
      <c r="J37" s="59" t="s">
        <v>172</v>
      </c>
    </row>
    <row r="38" customFormat="false" ht="14.25" hidden="false" customHeight="true" outlineLevel="0" collapsed="false">
      <c r="A38" s="34" t="s">
        <v>437</v>
      </c>
      <c r="B38" s="33" t="s">
        <v>438</v>
      </c>
      <c r="C38" s="33"/>
      <c r="D38" s="33"/>
      <c r="E38" s="33"/>
      <c r="F38" s="33"/>
      <c r="G38" s="34" t="s">
        <v>152</v>
      </c>
      <c r="H38" s="34"/>
      <c r="I38" s="34"/>
      <c r="J38" s="59" t="s">
        <v>172</v>
      </c>
    </row>
    <row r="39" customFormat="false" ht="14.25" hidden="false" customHeight="true" outlineLevel="0" collapsed="false">
      <c r="A39" s="34" t="s">
        <v>439</v>
      </c>
      <c r="B39" s="33" t="s">
        <v>440</v>
      </c>
      <c r="C39" s="33"/>
      <c r="D39" s="33"/>
      <c r="E39" s="33"/>
      <c r="F39" s="33"/>
      <c r="G39" s="34" t="s">
        <v>152</v>
      </c>
      <c r="H39" s="34"/>
      <c r="I39" s="34"/>
      <c r="J39" s="59" t="s">
        <v>172</v>
      </c>
    </row>
    <row r="40" customFormat="false" ht="14.25" hidden="false" customHeight="true" outlineLevel="0" collapsed="false">
      <c r="A40" s="34" t="s">
        <v>441</v>
      </c>
      <c r="B40" s="33" t="s">
        <v>442</v>
      </c>
      <c r="C40" s="33"/>
      <c r="D40" s="33"/>
      <c r="E40" s="33"/>
      <c r="F40" s="33"/>
      <c r="G40" s="34" t="s">
        <v>152</v>
      </c>
      <c r="H40" s="34"/>
      <c r="I40" s="34"/>
      <c r="J40" s="59" t="s">
        <v>172</v>
      </c>
    </row>
    <row r="41" customFormat="false" ht="14.25" hidden="false" customHeight="false" outlineLevel="0" collapsed="false">
      <c r="A41" s="149"/>
      <c r="B41" s="149"/>
      <c r="C41" s="149"/>
      <c r="D41" s="149"/>
      <c r="E41" s="149"/>
      <c r="F41" s="149"/>
      <c r="G41" s="149"/>
      <c r="H41" s="149"/>
      <c r="I41" s="149"/>
      <c r="J41" s="149"/>
    </row>
    <row r="42" customFormat="false" ht="14.25" hidden="false" customHeight="false" outlineLevel="0" collapsed="false">
      <c r="A42" s="149"/>
      <c r="B42" s="149"/>
      <c r="C42" s="149"/>
      <c r="D42" s="149"/>
      <c r="E42" s="149"/>
      <c r="F42" s="149"/>
      <c r="G42" s="149"/>
      <c r="H42" s="149"/>
      <c r="I42" s="149"/>
      <c r="J42" s="149"/>
    </row>
    <row r="43" customFormat="false" ht="14.25" hidden="false" customHeight="true" outlineLevel="0" collapsed="false"/>
    <row r="44" customFormat="false" ht="14.25" hidden="false" customHeight="true" outlineLevel="0" collapsed="false">
      <c r="A44" s="150" t="s">
        <v>144</v>
      </c>
      <c r="B44" s="151" t="s">
        <v>149</v>
      </c>
      <c r="C44" s="152" t="s">
        <v>214</v>
      </c>
      <c r="D44" s="153" t="s">
        <v>172</v>
      </c>
      <c r="E44" s="154" t="s">
        <v>165</v>
      </c>
    </row>
  </sheetData>
  <mergeCells count="79">
    <mergeCell ref="B2:D2"/>
    <mergeCell ref="G2:J2"/>
    <mergeCell ref="B3:D3"/>
    <mergeCell ref="B5:F5"/>
    <mergeCell ref="G5:H5"/>
    <mergeCell ref="B6:F6"/>
    <mergeCell ref="G6:H6"/>
    <mergeCell ref="B7:F7"/>
    <mergeCell ref="G7:H7"/>
    <mergeCell ref="B8:F8"/>
    <mergeCell ref="G8:H8"/>
    <mergeCell ref="B9:F9"/>
    <mergeCell ref="G9:H9"/>
    <mergeCell ref="B10:F10"/>
    <mergeCell ref="G10:H10"/>
    <mergeCell ref="B11:F11"/>
    <mergeCell ref="G11:H11"/>
    <mergeCell ref="B12:F12"/>
    <mergeCell ref="G12:H12"/>
    <mergeCell ref="B13:F13"/>
    <mergeCell ref="G13:H13"/>
    <mergeCell ref="B14:F14"/>
    <mergeCell ref="G14:H14"/>
    <mergeCell ref="B15:F15"/>
    <mergeCell ref="G15:H15"/>
    <mergeCell ref="B16:F16"/>
    <mergeCell ref="G16:H16"/>
    <mergeCell ref="B17:F17"/>
    <mergeCell ref="G17:H17"/>
    <mergeCell ref="B18:F18"/>
    <mergeCell ref="G18:H18"/>
    <mergeCell ref="B19:F19"/>
    <mergeCell ref="G19:H19"/>
    <mergeCell ref="B20:F20"/>
    <mergeCell ref="G20:H20"/>
    <mergeCell ref="B21:F21"/>
    <mergeCell ref="G21:H21"/>
    <mergeCell ref="B22:F22"/>
    <mergeCell ref="G22:H22"/>
    <mergeCell ref="B23:F23"/>
    <mergeCell ref="G23:H23"/>
    <mergeCell ref="B24:F24"/>
    <mergeCell ref="G24:H24"/>
    <mergeCell ref="B25:F25"/>
    <mergeCell ref="G25:H25"/>
    <mergeCell ref="B26:F26"/>
    <mergeCell ref="G26:H26"/>
    <mergeCell ref="B27:F27"/>
    <mergeCell ref="G27:H27"/>
    <mergeCell ref="B28:F28"/>
    <mergeCell ref="G28:H28"/>
    <mergeCell ref="B29:F29"/>
    <mergeCell ref="G29:H29"/>
    <mergeCell ref="B30:F30"/>
    <mergeCell ref="G30:H30"/>
    <mergeCell ref="B31:F31"/>
    <mergeCell ref="G31:H31"/>
    <mergeCell ref="B32:F32"/>
    <mergeCell ref="G32:H32"/>
    <mergeCell ref="B33:F33"/>
    <mergeCell ref="G33:H33"/>
    <mergeCell ref="B34:F34"/>
    <mergeCell ref="G34:H34"/>
    <mergeCell ref="B35:F35"/>
    <mergeCell ref="G35:H35"/>
    <mergeCell ref="B36:F36"/>
    <mergeCell ref="G36:H36"/>
    <mergeCell ref="B37:F37"/>
    <mergeCell ref="G37:H37"/>
    <mergeCell ref="B38:F38"/>
    <mergeCell ref="G38:H38"/>
    <mergeCell ref="B39:F39"/>
    <mergeCell ref="G39:H39"/>
    <mergeCell ref="B40:F40"/>
    <mergeCell ref="G40:H40"/>
    <mergeCell ref="B41:F41"/>
    <mergeCell ref="G41:H41"/>
    <mergeCell ref="B42:F42"/>
    <mergeCell ref="G42:H42"/>
  </mergeCells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&amp;L&amp;"Aptos Narrow,Bold"WORK BREAKDOWN STRUCTURE&amp;COhioma Eboreime PhD. P.E.&amp;RV1.0</oddHeader>
    <oddFooter>&amp;LDate: 07.09.2026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20" colorId="64" zoomScale="85" zoomScaleNormal="85" zoomScalePageLayoutView="100" workbookViewId="0">
      <selection pane="topLeft" activeCell="A44" activeCellId="0" sqref="A44"/>
    </sheetView>
  </sheetViews>
  <sheetFormatPr defaultColWidth="8.5390625" defaultRowHeight="14.25" zeroHeight="false" outlineLevelRow="0" outlineLevelCol="0"/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4.25" hidden="false" customHeight="true" outlineLevel="0" collapsed="false">
      <c r="A2" s="45" t="s">
        <v>133</v>
      </c>
      <c r="B2" s="46" t="s">
        <v>134</v>
      </c>
      <c r="C2" s="46"/>
      <c r="D2" s="46"/>
      <c r="E2" s="1"/>
      <c r="F2" s="144" t="s">
        <v>297</v>
      </c>
      <c r="G2" s="145"/>
      <c r="H2" s="145"/>
      <c r="I2" s="145"/>
      <c r="J2" s="145"/>
    </row>
    <row r="3" customFormat="false" ht="14.25" hidden="false" customHeight="true" outlineLevel="0" collapsed="false">
      <c r="A3" s="45" t="s">
        <v>137</v>
      </c>
      <c r="B3" s="10" t="s">
        <v>52</v>
      </c>
      <c r="C3" s="11"/>
      <c r="D3" s="12"/>
      <c r="E3" s="1"/>
      <c r="F3" s="1"/>
      <c r="G3" s="1"/>
      <c r="H3" s="1"/>
      <c r="I3" s="1"/>
      <c r="J3" s="1"/>
    </row>
    <row r="4" customFormat="false" ht="14.2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4.25" hidden="false" customHeight="false" outlineLevel="0" collapsed="false">
      <c r="A5" s="146" t="s">
        <v>443</v>
      </c>
      <c r="B5" s="146"/>
      <c r="C5" s="146"/>
      <c r="D5" s="146" t="s">
        <v>444</v>
      </c>
      <c r="E5" s="146"/>
      <c r="F5" s="146"/>
      <c r="G5" s="146" t="s">
        <v>445</v>
      </c>
      <c r="H5" s="146"/>
      <c r="I5" s="146" t="s">
        <v>446</v>
      </c>
      <c r="J5" s="146" t="s">
        <v>144</v>
      </c>
    </row>
    <row r="6" customFormat="false" ht="28.35" hidden="false" customHeight="true" outlineLevel="0" collapsed="false">
      <c r="A6" s="147" t="s">
        <v>447</v>
      </c>
      <c r="B6" s="147"/>
      <c r="C6" s="147"/>
      <c r="D6" s="33" t="s">
        <v>448</v>
      </c>
      <c r="E6" s="33"/>
      <c r="F6" s="33"/>
      <c r="G6" s="33" t="s">
        <v>449</v>
      </c>
      <c r="H6" s="33"/>
      <c r="I6" s="34" t="s">
        <v>450</v>
      </c>
      <c r="J6" s="53" t="s">
        <v>451</v>
      </c>
    </row>
    <row r="7" customFormat="false" ht="28.35" hidden="false" customHeight="true" outlineLevel="0" collapsed="false">
      <c r="A7" s="33"/>
      <c r="B7" s="33"/>
      <c r="C7" s="33"/>
      <c r="D7" s="33" t="s">
        <v>452</v>
      </c>
      <c r="E7" s="33"/>
      <c r="F7" s="33"/>
      <c r="G7" s="33" t="s">
        <v>453</v>
      </c>
      <c r="H7" s="33"/>
      <c r="I7" s="34" t="s">
        <v>450</v>
      </c>
      <c r="J7" s="53" t="s">
        <v>451</v>
      </c>
    </row>
    <row r="8" customFormat="false" ht="41.75" hidden="false" customHeight="true" outlineLevel="0" collapsed="false">
      <c r="A8" s="33"/>
      <c r="B8" s="33"/>
      <c r="C8" s="33"/>
      <c r="D8" s="33" t="s">
        <v>454</v>
      </c>
      <c r="E8" s="33"/>
      <c r="F8" s="33"/>
      <c r="G8" s="33" t="s">
        <v>455</v>
      </c>
      <c r="H8" s="33"/>
      <c r="I8" s="34" t="s">
        <v>450</v>
      </c>
      <c r="J8" s="53" t="s">
        <v>75</v>
      </c>
    </row>
    <row r="9" customFormat="false" ht="28.35" hidden="false" customHeight="true" outlineLevel="0" collapsed="false">
      <c r="A9" s="33" t="s">
        <v>456</v>
      </c>
      <c r="B9" s="33"/>
      <c r="C9" s="33"/>
      <c r="D9" s="33" t="s">
        <v>457</v>
      </c>
      <c r="E9" s="33"/>
      <c r="F9" s="33"/>
      <c r="G9" s="33" t="s">
        <v>458</v>
      </c>
      <c r="H9" s="33"/>
      <c r="I9" s="34" t="s">
        <v>450</v>
      </c>
      <c r="J9" s="59" t="s">
        <v>459</v>
      </c>
    </row>
    <row r="10" customFormat="false" ht="28.35" hidden="false" customHeight="true" outlineLevel="0" collapsed="false">
      <c r="A10" s="33" t="s">
        <v>460</v>
      </c>
      <c r="B10" s="33"/>
      <c r="C10" s="33"/>
      <c r="D10" s="33" t="s">
        <v>461</v>
      </c>
      <c r="E10" s="33"/>
      <c r="F10" s="33"/>
      <c r="G10" s="33" t="s">
        <v>462</v>
      </c>
      <c r="H10" s="33"/>
      <c r="I10" s="34" t="s">
        <v>450</v>
      </c>
      <c r="J10" s="53" t="s">
        <v>451</v>
      </c>
    </row>
    <row r="11" customFormat="false" ht="28.35" hidden="false" customHeight="true" outlineLevel="0" collapsed="false">
      <c r="A11" s="33"/>
      <c r="B11" s="33"/>
      <c r="C11" s="33"/>
      <c r="D11" s="33" t="s">
        <v>463</v>
      </c>
      <c r="E11" s="33"/>
      <c r="F11" s="33"/>
      <c r="G11" s="33" t="s">
        <v>464</v>
      </c>
      <c r="H11" s="33"/>
      <c r="I11" s="34" t="s">
        <v>465</v>
      </c>
      <c r="J11" s="59" t="s">
        <v>466</v>
      </c>
    </row>
    <row r="12" customFormat="false" ht="28.35" hidden="false" customHeight="true" outlineLevel="0" collapsed="false">
      <c r="A12" s="147" t="s">
        <v>406</v>
      </c>
      <c r="B12" s="147"/>
      <c r="C12" s="147"/>
      <c r="D12" s="33" t="s">
        <v>467</v>
      </c>
      <c r="E12" s="33"/>
      <c r="F12" s="33"/>
      <c r="G12" s="33" t="s">
        <v>468</v>
      </c>
      <c r="H12" s="33"/>
      <c r="I12" s="34" t="s">
        <v>469</v>
      </c>
      <c r="J12" s="53" t="s">
        <v>451</v>
      </c>
    </row>
    <row r="13" customFormat="false" ht="28.35" hidden="false" customHeight="true" outlineLevel="0" collapsed="false">
      <c r="A13" s="33"/>
      <c r="B13" s="33"/>
      <c r="C13" s="33"/>
      <c r="D13" s="33" t="s">
        <v>470</v>
      </c>
      <c r="E13" s="33"/>
      <c r="F13" s="33"/>
      <c r="G13" s="33" t="s">
        <v>471</v>
      </c>
      <c r="H13" s="33"/>
      <c r="I13" s="34" t="s">
        <v>472</v>
      </c>
      <c r="J13" s="53" t="s">
        <v>451</v>
      </c>
    </row>
    <row r="14" customFormat="false" ht="28.35" hidden="false" customHeight="true" outlineLevel="0" collapsed="false">
      <c r="A14" s="33"/>
      <c r="B14" s="33"/>
      <c r="C14" s="33"/>
      <c r="D14" s="33" t="s">
        <v>473</v>
      </c>
      <c r="E14" s="33"/>
      <c r="F14" s="33"/>
      <c r="G14" s="33" t="s">
        <v>474</v>
      </c>
      <c r="H14" s="33"/>
      <c r="I14" s="34" t="s">
        <v>472</v>
      </c>
      <c r="J14" s="53" t="s">
        <v>451</v>
      </c>
    </row>
    <row r="15" customFormat="false" ht="14.25" hidden="false" customHeight="true" outlineLevel="0" collapsed="false">
      <c r="A15" s="33"/>
      <c r="B15" s="33"/>
      <c r="C15" s="33"/>
      <c r="D15" s="33" t="s">
        <v>475</v>
      </c>
      <c r="E15" s="33"/>
      <c r="F15" s="33"/>
      <c r="G15" s="33" t="s">
        <v>476</v>
      </c>
      <c r="H15" s="33"/>
      <c r="I15" s="34" t="s">
        <v>469</v>
      </c>
      <c r="J15" s="59" t="s">
        <v>477</v>
      </c>
    </row>
    <row r="16" customFormat="false" ht="28.35" hidden="false" customHeight="true" outlineLevel="0" collapsed="false">
      <c r="A16" s="33" t="s">
        <v>478</v>
      </c>
      <c r="B16" s="33"/>
      <c r="C16" s="33"/>
      <c r="D16" s="33" t="s">
        <v>479</v>
      </c>
      <c r="E16" s="33"/>
      <c r="F16" s="33"/>
      <c r="G16" s="33" t="s">
        <v>480</v>
      </c>
      <c r="H16" s="33"/>
      <c r="I16" s="34" t="s">
        <v>472</v>
      </c>
      <c r="J16" s="59" t="s">
        <v>459</v>
      </c>
    </row>
    <row r="17" customFormat="false" ht="28.35" hidden="false" customHeight="true" outlineLevel="0" collapsed="false">
      <c r="A17" s="33" t="s">
        <v>481</v>
      </c>
      <c r="B17" s="33"/>
      <c r="C17" s="33"/>
      <c r="D17" s="33" t="s">
        <v>482</v>
      </c>
      <c r="E17" s="33"/>
      <c r="F17" s="33"/>
      <c r="G17" s="33" t="s">
        <v>483</v>
      </c>
      <c r="H17" s="33"/>
      <c r="I17" s="34" t="s">
        <v>469</v>
      </c>
      <c r="J17" s="53" t="s">
        <v>451</v>
      </c>
    </row>
    <row r="18" customFormat="false" ht="28.35" hidden="false" customHeight="true" outlineLevel="0" collapsed="false">
      <c r="A18" s="33" t="s">
        <v>484</v>
      </c>
      <c r="B18" s="33"/>
      <c r="C18" s="33"/>
      <c r="D18" s="33" t="s">
        <v>485</v>
      </c>
      <c r="E18" s="33"/>
      <c r="F18" s="33"/>
      <c r="G18" s="33" t="s">
        <v>486</v>
      </c>
      <c r="H18" s="33"/>
      <c r="I18" s="34" t="s">
        <v>469</v>
      </c>
      <c r="J18" s="148" t="s">
        <v>487</v>
      </c>
    </row>
    <row r="19" customFormat="false" ht="28.35" hidden="false" customHeight="true" outlineLevel="0" collapsed="false">
      <c r="A19" s="33" t="s">
        <v>488</v>
      </c>
      <c r="B19" s="33"/>
      <c r="C19" s="33"/>
      <c r="D19" s="33" t="s">
        <v>489</v>
      </c>
      <c r="E19" s="33"/>
      <c r="F19" s="33"/>
      <c r="G19" s="33" t="s">
        <v>490</v>
      </c>
      <c r="H19" s="33"/>
      <c r="I19" s="34" t="s">
        <v>469</v>
      </c>
      <c r="J19" s="59" t="s">
        <v>459</v>
      </c>
    </row>
    <row r="20" customFormat="false" ht="28.35" hidden="false" customHeight="true" outlineLevel="0" collapsed="false">
      <c r="A20" s="33"/>
      <c r="B20" s="33"/>
      <c r="C20" s="33"/>
      <c r="D20" s="33" t="s">
        <v>491</v>
      </c>
      <c r="E20" s="33"/>
      <c r="F20" s="33"/>
      <c r="G20" s="33" t="s">
        <v>492</v>
      </c>
      <c r="H20" s="33"/>
      <c r="I20" s="34" t="s">
        <v>472</v>
      </c>
      <c r="J20" s="59" t="s">
        <v>466</v>
      </c>
    </row>
    <row r="21" customFormat="false" ht="28.35" hidden="false" customHeight="true" outlineLevel="0" collapsed="false">
      <c r="A21" s="33" t="s">
        <v>493</v>
      </c>
      <c r="B21" s="33"/>
      <c r="C21" s="33"/>
      <c r="D21" s="33" t="s">
        <v>494</v>
      </c>
      <c r="E21" s="33"/>
      <c r="F21" s="33"/>
      <c r="G21" s="33" t="s">
        <v>495</v>
      </c>
      <c r="H21" s="33"/>
      <c r="I21" s="34" t="s">
        <v>496</v>
      </c>
      <c r="J21" s="59" t="s">
        <v>497</v>
      </c>
    </row>
    <row r="22" customFormat="false" ht="28.35" hidden="false" customHeight="true" outlineLevel="0" collapsed="false">
      <c r="A22" s="33" t="s">
        <v>498</v>
      </c>
      <c r="B22" s="33"/>
      <c r="C22" s="33"/>
      <c r="D22" s="33" t="s">
        <v>499</v>
      </c>
      <c r="E22" s="33"/>
      <c r="F22" s="33"/>
      <c r="G22" s="33" t="s">
        <v>500</v>
      </c>
      <c r="H22" s="33"/>
      <c r="I22" s="34" t="s">
        <v>496</v>
      </c>
      <c r="J22" s="59" t="s">
        <v>501</v>
      </c>
    </row>
    <row r="23" customFormat="false" ht="14.25" hidden="false" customHeight="false" outlineLevel="0" collapsed="false">
      <c r="A23" s="149"/>
      <c r="B23" s="149"/>
      <c r="C23" s="149"/>
      <c r="D23" s="149"/>
      <c r="E23" s="149"/>
      <c r="F23" s="149"/>
      <c r="G23" s="149"/>
      <c r="H23" s="149"/>
      <c r="I23" s="149"/>
      <c r="J23" s="149"/>
    </row>
    <row r="24" customFormat="false" ht="14.25" hidden="false" customHeight="false" outlineLevel="0" collapsed="false">
      <c r="A24" s="149"/>
      <c r="B24" s="149"/>
      <c r="C24" s="149"/>
      <c r="D24" s="149"/>
      <c r="E24" s="149"/>
      <c r="F24" s="149"/>
      <c r="G24" s="149"/>
      <c r="H24" s="149"/>
      <c r="I24" s="149"/>
      <c r="J24" s="149"/>
    </row>
    <row r="25" customFormat="false" ht="14.25" hidden="false" customHeight="false" outlineLevel="0" collapsed="false">
      <c r="A25" s="149"/>
      <c r="B25" s="149"/>
      <c r="C25" s="149"/>
      <c r="D25" s="149"/>
      <c r="E25" s="149"/>
      <c r="F25" s="149"/>
      <c r="G25" s="149"/>
      <c r="H25" s="149"/>
      <c r="I25" s="149"/>
      <c r="J25" s="149"/>
    </row>
    <row r="26" customFormat="false" ht="14.25" hidden="false" customHeight="false" outlineLevel="0" collapsed="false">
      <c r="A26" s="149"/>
      <c r="B26" s="149"/>
      <c r="C26" s="149"/>
      <c r="D26" s="149"/>
      <c r="E26" s="149"/>
      <c r="F26" s="149"/>
      <c r="G26" s="149"/>
      <c r="H26" s="149"/>
      <c r="I26" s="149"/>
      <c r="J26" s="149"/>
    </row>
    <row r="27" customFormat="false" ht="14.25" hidden="false" customHeight="false" outlineLevel="0" collapsed="false">
      <c r="A27" s="149"/>
      <c r="B27" s="149"/>
      <c r="C27" s="149"/>
      <c r="D27" s="149"/>
      <c r="E27" s="149"/>
      <c r="F27" s="149"/>
      <c r="G27" s="149"/>
      <c r="H27" s="149"/>
      <c r="I27" s="149"/>
      <c r="J27" s="149"/>
    </row>
    <row r="28" customFormat="false" ht="14.25" hidden="false" customHeight="false" outlineLevel="0" collapsed="false">
      <c r="A28" s="149"/>
      <c r="B28" s="149"/>
      <c r="C28" s="149"/>
      <c r="D28" s="149"/>
      <c r="E28" s="149"/>
      <c r="F28" s="149"/>
      <c r="G28" s="149"/>
      <c r="H28" s="149"/>
      <c r="I28" s="149"/>
      <c r="J28" s="149"/>
    </row>
    <row r="29" customFormat="false" ht="14.25" hidden="false" customHeight="false" outlineLevel="0" collapsed="false">
      <c r="A29" s="149"/>
      <c r="B29" s="149"/>
      <c r="C29" s="149"/>
      <c r="D29" s="149"/>
      <c r="E29" s="149"/>
      <c r="F29" s="149"/>
      <c r="G29" s="149"/>
      <c r="H29" s="149"/>
      <c r="I29" s="149"/>
      <c r="J29" s="149"/>
    </row>
    <row r="30" customFormat="false" ht="14.25" hidden="false" customHeight="false" outlineLevel="0" collapsed="false">
      <c r="A30" s="149"/>
      <c r="B30" s="149"/>
      <c r="C30" s="149"/>
      <c r="D30" s="149"/>
      <c r="E30" s="149"/>
      <c r="F30" s="149"/>
      <c r="G30" s="149"/>
      <c r="H30" s="149"/>
      <c r="I30" s="149"/>
      <c r="J30" s="149"/>
    </row>
    <row r="31" customFormat="false" ht="14.25" hidden="false" customHeight="false" outlineLevel="0" collapsed="false">
      <c r="A31" s="149"/>
      <c r="B31" s="149"/>
      <c r="C31" s="149"/>
      <c r="D31" s="149"/>
      <c r="E31" s="149"/>
      <c r="F31" s="149"/>
      <c r="G31" s="149"/>
      <c r="H31" s="149"/>
      <c r="I31" s="149"/>
      <c r="J31" s="149"/>
    </row>
    <row r="32" customFormat="false" ht="14.25" hidden="false" customHeight="false" outlineLevel="0" collapsed="false">
      <c r="A32" s="149"/>
      <c r="B32" s="149"/>
      <c r="C32" s="149"/>
      <c r="D32" s="149"/>
      <c r="E32" s="149"/>
      <c r="F32" s="149"/>
      <c r="G32" s="149"/>
      <c r="H32" s="149"/>
      <c r="I32" s="149"/>
      <c r="J32" s="149"/>
    </row>
    <row r="33" customFormat="false" ht="14.25" hidden="false" customHeight="false" outlineLevel="0" collapsed="false">
      <c r="A33" s="149"/>
      <c r="B33" s="149"/>
      <c r="C33" s="149"/>
      <c r="D33" s="149"/>
      <c r="E33" s="149"/>
      <c r="F33" s="149"/>
      <c r="G33" s="149"/>
      <c r="H33" s="149"/>
      <c r="I33" s="149"/>
      <c r="J33" s="149"/>
    </row>
    <row r="34" customFormat="false" ht="14.25" hidden="false" customHeight="false" outlineLevel="0" collapsed="false">
      <c r="A34" s="149"/>
      <c r="B34" s="149"/>
      <c r="C34" s="149"/>
      <c r="D34" s="149"/>
      <c r="E34" s="149"/>
      <c r="F34" s="149"/>
      <c r="G34" s="149"/>
      <c r="H34" s="149"/>
      <c r="I34" s="149"/>
      <c r="J34" s="149"/>
    </row>
    <row r="35" customFormat="false" ht="14.25" hidden="false" customHeight="false" outlineLevel="0" collapsed="false">
      <c r="A35" s="149"/>
      <c r="B35" s="149"/>
      <c r="C35" s="149"/>
      <c r="D35" s="149"/>
      <c r="E35" s="149"/>
      <c r="F35" s="149"/>
      <c r="G35" s="149"/>
      <c r="H35" s="149"/>
      <c r="I35" s="149"/>
      <c r="J35" s="149"/>
    </row>
    <row r="36" customFormat="false" ht="14.25" hidden="false" customHeight="false" outlineLevel="0" collapsed="false">
      <c r="A36" s="149"/>
      <c r="B36" s="149"/>
      <c r="C36" s="149"/>
      <c r="D36" s="149"/>
      <c r="E36" s="149"/>
      <c r="F36" s="149"/>
      <c r="G36" s="149"/>
      <c r="H36" s="149"/>
      <c r="I36" s="149"/>
      <c r="J36" s="149"/>
    </row>
    <row r="37" customFormat="false" ht="14.25" hidden="false" customHeight="false" outlineLevel="0" collapsed="false">
      <c r="A37" s="149"/>
      <c r="B37" s="149"/>
      <c r="C37" s="149"/>
      <c r="D37" s="149"/>
      <c r="E37" s="149"/>
      <c r="F37" s="149"/>
      <c r="G37" s="149"/>
      <c r="H37" s="149"/>
      <c r="I37" s="149"/>
      <c r="J37" s="149"/>
    </row>
    <row r="38" customFormat="false" ht="14.25" hidden="false" customHeight="false" outlineLevel="0" collapsed="false">
      <c r="A38" s="149"/>
      <c r="B38" s="149"/>
      <c r="C38" s="149"/>
      <c r="D38" s="149"/>
      <c r="E38" s="149"/>
      <c r="F38" s="149"/>
      <c r="G38" s="149"/>
      <c r="H38" s="149"/>
      <c r="I38" s="149"/>
      <c r="J38" s="149"/>
    </row>
    <row r="39" customFormat="false" ht="14.25" hidden="false" customHeight="false" outlineLevel="0" collapsed="false">
      <c r="A39" s="149"/>
      <c r="B39" s="149"/>
      <c r="C39" s="149"/>
      <c r="D39" s="149"/>
      <c r="E39" s="149"/>
      <c r="F39" s="149"/>
      <c r="G39" s="149"/>
      <c r="H39" s="149"/>
      <c r="I39" s="149"/>
      <c r="J39" s="149"/>
    </row>
    <row r="40" customFormat="false" ht="14.25" hidden="false" customHeight="false" outlineLevel="0" collapsed="false">
      <c r="A40" s="149"/>
      <c r="B40" s="149"/>
      <c r="C40" s="149"/>
      <c r="D40" s="149"/>
      <c r="E40" s="149"/>
      <c r="F40" s="149"/>
      <c r="G40" s="149"/>
      <c r="H40" s="149"/>
      <c r="I40" s="149"/>
      <c r="J40" s="149"/>
    </row>
    <row r="41" customFormat="false" ht="14.25" hidden="false" customHeight="false" outlineLevel="0" collapsed="false">
      <c r="A41" s="149"/>
      <c r="B41" s="149"/>
      <c r="C41" s="149"/>
      <c r="D41" s="149"/>
      <c r="E41" s="149"/>
      <c r="F41" s="149"/>
      <c r="G41" s="149"/>
      <c r="H41" s="149"/>
      <c r="I41" s="149"/>
      <c r="J41" s="149"/>
    </row>
    <row r="42" customFormat="false" ht="14.25" hidden="false" customHeight="false" outlineLevel="0" collapsed="false">
      <c r="A42" s="149"/>
      <c r="B42" s="149"/>
      <c r="C42" s="149"/>
      <c r="D42" s="149"/>
      <c r="E42" s="149"/>
      <c r="F42" s="149"/>
      <c r="G42" s="149"/>
      <c r="H42" s="149"/>
      <c r="I42" s="149"/>
      <c r="J42" s="149"/>
    </row>
    <row r="43" customFormat="false" ht="14.2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4.25" hidden="false" customHeight="true" outlineLevel="0" collapsed="false">
      <c r="A44" s="150" t="s">
        <v>144</v>
      </c>
      <c r="B44" s="151" t="s">
        <v>149</v>
      </c>
      <c r="C44" s="152" t="s">
        <v>214</v>
      </c>
      <c r="D44" s="153" t="s">
        <v>172</v>
      </c>
      <c r="E44" s="154" t="s">
        <v>165</v>
      </c>
      <c r="F44" s="1"/>
      <c r="G44" s="1"/>
      <c r="H44" s="1"/>
      <c r="I44" s="1"/>
      <c r="J44" s="1"/>
    </row>
  </sheetData>
  <mergeCells count="116">
    <mergeCell ref="B2:D2"/>
    <mergeCell ref="G2:J2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C20"/>
    <mergeCell ref="D20:F20"/>
    <mergeCell ref="G20:H20"/>
    <mergeCell ref="A21:C21"/>
    <mergeCell ref="D21:F21"/>
    <mergeCell ref="G21:H21"/>
    <mergeCell ref="A22:C22"/>
    <mergeCell ref="D22:F22"/>
    <mergeCell ref="G22:H22"/>
    <mergeCell ref="A23:C23"/>
    <mergeCell ref="D23:F23"/>
    <mergeCell ref="G23:H23"/>
    <mergeCell ref="A24:C24"/>
    <mergeCell ref="D24:F24"/>
    <mergeCell ref="G24:H24"/>
    <mergeCell ref="A25:C25"/>
    <mergeCell ref="D25:F25"/>
    <mergeCell ref="G25:H25"/>
    <mergeCell ref="A26:C26"/>
    <mergeCell ref="D26:F26"/>
    <mergeCell ref="G26:H26"/>
    <mergeCell ref="A27:C27"/>
    <mergeCell ref="D27:F27"/>
    <mergeCell ref="G27:H27"/>
    <mergeCell ref="A28:C28"/>
    <mergeCell ref="D28:F28"/>
    <mergeCell ref="G28:H28"/>
    <mergeCell ref="A29:C29"/>
    <mergeCell ref="D29:F29"/>
    <mergeCell ref="G29:H29"/>
    <mergeCell ref="A30:C30"/>
    <mergeCell ref="D30:F30"/>
    <mergeCell ref="G30:H30"/>
    <mergeCell ref="A31:C31"/>
    <mergeCell ref="D31:F31"/>
    <mergeCell ref="G31:H31"/>
    <mergeCell ref="A32:C32"/>
    <mergeCell ref="D32:F32"/>
    <mergeCell ref="G32:H32"/>
    <mergeCell ref="A33:C33"/>
    <mergeCell ref="D33:F33"/>
    <mergeCell ref="G33:H33"/>
    <mergeCell ref="A34:C34"/>
    <mergeCell ref="D34:F34"/>
    <mergeCell ref="G34:H34"/>
    <mergeCell ref="A35:C35"/>
    <mergeCell ref="D35:F35"/>
    <mergeCell ref="G35:H35"/>
    <mergeCell ref="A36:C36"/>
    <mergeCell ref="D36:F36"/>
    <mergeCell ref="G36:H36"/>
    <mergeCell ref="A37:C37"/>
    <mergeCell ref="D37:F37"/>
    <mergeCell ref="G37:H37"/>
    <mergeCell ref="A38:C38"/>
    <mergeCell ref="D38:F38"/>
    <mergeCell ref="G38:H38"/>
    <mergeCell ref="A39:C39"/>
    <mergeCell ref="D39:F39"/>
    <mergeCell ref="G39:H39"/>
    <mergeCell ref="A40:C40"/>
    <mergeCell ref="D40:F40"/>
    <mergeCell ref="G40:H40"/>
    <mergeCell ref="A41:C41"/>
    <mergeCell ref="D41:F41"/>
    <mergeCell ref="G41:H41"/>
    <mergeCell ref="A42:C42"/>
    <mergeCell ref="D42:F42"/>
    <mergeCell ref="G42:H42"/>
  </mergeCells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&amp;L&amp;"Aptos Narrow,Bold"FEATURE BREAKDOWN STRUCTURE&amp;COhioma Eboreime PhD. P.E.&amp;RV1.0</oddHeader>
    <oddFooter>&amp;LDate: 07.09.2026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2026-07-09T19:13:54Z</dcterms:created>
  <dc:creator>Eboreime, Ohioma (GE Aerospace, Consultant, US)</dc:creator>
  <dc:description/>
  <dc:language>en-US</dc:language>
  <cp:lastModifiedBy/>
  <cp:lastPrinted>2026-07-09T19:26:22Z</cp:lastPrinted>
  <dcterms:modified xsi:type="dcterms:W3CDTF">2026-07-10T15:29:55Z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b68801-e10f-48d9-9ed4-5d8b7b3ccbcf_ActionId">
    <vt:lpwstr>0bfea470-9087-449f-b574-8572b5fb09fa</vt:lpwstr>
  </property>
  <property fmtid="{D5CDD505-2E9C-101B-9397-08002B2CF9AE}" pid="3" name="MSIP_Label_93b68801-e10f-48d9-9ed4-5d8b7b3ccbcf_ContentBits">
    <vt:lpwstr>0</vt:lpwstr>
  </property>
  <property fmtid="{D5CDD505-2E9C-101B-9397-08002B2CF9AE}" pid="4" name="MSIP_Label_93b68801-e10f-48d9-9ed4-5d8b7b3ccbcf_Enabled">
    <vt:lpwstr>true</vt:lpwstr>
  </property>
  <property fmtid="{D5CDD505-2E9C-101B-9397-08002B2CF9AE}" pid="5" name="MSIP_Label_93b68801-e10f-48d9-9ed4-5d8b7b3ccbcf_Method">
    <vt:lpwstr>Standard</vt:lpwstr>
  </property>
  <property fmtid="{D5CDD505-2E9C-101B-9397-08002B2CF9AE}" pid="6" name="MSIP_Label_93b68801-e10f-48d9-9ed4-5d8b7b3ccbcf_Name">
    <vt:lpwstr>GE Aerospace - Sensitive</vt:lpwstr>
  </property>
  <property fmtid="{D5CDD505-2E9C-101B-9397-08002B2CF9AE}" pid="7" name="MSIP_Label_93b68801-e10f-48d9-9ed4-5d8b7b3ccbcf_SetDate">
    <vt:lpwstr>2026-07-09T19:30:55Z</vt:lpwstr>
  </property>
  <property fmtid="{D5CDD505-2E9C-101B-9397-08002B2CF9AE}" pid="8" name="MSIP_Label_93b68801-e10f-48d9-9ed4-5d8b7b3ccbcf_SiteId">
    <vt:lpwstr>86b871ed-f0e7-4126-9bf4-5ee5cf19e256</vt:lpwstr>
  </property>
  <property fmtid="{D5CDD505-2E9C-101B-9397-08002B2CF9AE}" pid="9" name="MSIP_Label_93b68801-e10f-48d9-9ed4-5d8b7b3ccbcf_Tag">
    <vt:lpwstr>10, 3, 0, 1</vt:lpwstr>
  </property>
</Properties>
</file>